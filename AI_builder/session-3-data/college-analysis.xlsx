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4"/>
  </bookViews>
  <sheets>
    <sheet name="State Mapping" sheetId="1" state="hidden" r:id="rId3"/>
    <sheet name="State Premium Data" sheetId="2" state="visible" r:id="rId4"/>
    <sheet name="College Data" sheetId="3" state="visible" r:id="rId5"/>
    <sheet name="3-School Comparison" sheetId="4" state="visible" r:id="rId6"/>
    <sheet name="Debt-to-Premium Ratio" sheetId="5" state="visible" r:id="rId7"/>
    <sheet name="Real Earnings vs Baselin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<sst xmlns="http://schemas.openxmlformats.org/spreadsheetml/2006/main" count="1012" uniqueCount="517">
  <si>
    <t xml:space="preserve">Abbrev</t>
  </si>
  <si>
    <t xml:space="preserve">Full State Name</t>
  </si>
  <si>
    <t xml:space="preserve">AK</t>
  </si>
  <si>
    <t xml:space="preserve">Alaska</t>
  </si>
  <si>
    <t xml:space="preserve">AL</t>
  </si>
  <si>
    <t xml:space="preserve">Alabama</t>
  </si>
  <si>
    <t xml:space="preserve">AR</t>
  </si>
  <si>
    <t xml:space="preserve">Arkansas</t>
  </si>
  <si>
    <t xml:space="preserve">AZ</t>
  </si>
  <si>
    <t xml:space="preserve">Arizona</t>
  </si>
  <si>
    <t xml:space="preserve">CA</t>
  </si>
  <si>
    <t xml:space="preserve">California</t>
  </si>
  <si>
    <t xml:space="preserve">CO</t>
  </si>
  <si>
    <t xml:space="preserve">Colorado</t>
  </si>
  <si>
    <t xml:space="preserve">CT</t>
  </si>
  <si>
    <t xml:space="preserve">Connecticut</t>
  </si>
  <si>
    <t xml:space="preserve">DC</t>
  </si>
  <si>
    <t xml:space="preserve">District of Columbia</t>
  </si>
  <si>
    <t xml:space="preserve">DE</t>
  </si>
  <si>
    <t xml:space="preserve">Delaware</t>
  </si>
  <si>
    <t xml:space="preserve">FL</t>
  </si>
  <si>
    <t xml:space="preserve">Florida</t>
  </si>
  <si>
    <t xml:space="preserve">GA</t>
  </si>
  <si>
    <t xml:space="preserve">Georgia</t>
  </si>
  <si>
    <t xml:space="preserve">HI</t>
  </si>
  <si>
    <t xml:space="preserve">Hawaii</t>
  </si>
  <si>
    <t xml:space="preserve">IA</t>
  </si>
  <si>
    <t xml:space="preserve">Iowa</t>
  </si>
  <si>
    <t xml:space="preserve">ID</t>
  </si>
  <si>
    <t xml:space="preserve">Idaho</t>
  </si>
  <si>
    <t xml:space="preserve">IL</t>
  </si>
  <si>
    <t xml:space="preserve">Illinois</t>
  </si>
  <si>
    <t xml:space="preserve">IN</t>
  </si>
  <si>
    <t xml:space="preserve">Indiana</t>
  </si>
  <si>
    <t xml:space="preserve">KS</t>
  </si>
  <si>
    <t xml:space="preserve">Kansas</t>
  </si>
  <si>
    <t xml:space="preserve">KY</t>
  </si>
  <si>
    <t xml:space="preserve">Kentucky</t>
  </si>
  <si>
    <t xml:space="preserve">LA</t>
  </si>
  <si>
    <t xml:space="preserve">Louisiana</t>
  </si>
  <si>
    <t xml:space="preserve">MA</t>
  </si>
  <si>
    <t xml:space="preserve">Massachusetts</t>
  </si>
  <si>
    <t xml:space="preserve">MD</t>
  </si>
  <si>
    <t xml:space="preserve">Maryland</t>
  </si>
  <si>
    <t xml:space="preserve">ME</t>
  </si>
  <si>
    <t xml:space="preserve">Maine</t>
  </si>
  <si>
    <t xml:space="preserve">MI</t>
  </si>
  <si>
    <t xml:space="preserve">Michigan</t>
  </si>
  <si>
    <t xml:space="preserve">MN</t>
  </si>
  <si>
    <t xml:space="preserve">Minnesota</t>
  </si>
  <si>
    <t xml:space="preserve">MO</t>
  </si>
  <si>
    <t xml:space="preserve">Missouri</t>
  </si>
  <si>
    <t xml:space="preserve">MS</t>
  </si>
  <si>
    <t xml:space="preserve">Mississippi</t>
  </si>
  <si>
    <t xml:space="preserve">MT</t>
  </si>
  <si>
    <t xml:space="preserve">Montana</t>
  </si>
  <si>
    <t xml:space="preserve">NC</t>
  </si>
  <si>
    <t xml:space="preserve">North Carolina</t>
  </si>
  <si>
    <t xml:space="preserve">ND</t>
  </si>
  <si>
    <t xml:space="preserve">North Dakota</t>
  </si>
  <si>
    <t xml:space="preserve">NE</t>
  </si>
  <si>
    <t xml:space="preserve">Nebraska</t>
  </si>
  <si>
    <t xml:space="preserve">NH</t>
  </si>
  <si>
    <t xml:space="preserve">New Hampshire</t>
  </si>
  <si>
    <t xml:space="preserve">NJ</t>
  </si>
  <si>
    <t xml:space="preserve">New Jersey</t>
  </si>
  <si>
    <t xml:space="preserve">NM</t>
  </si>
  <si>
    <t xml:space="preserve">New Mexico</t>
  </si>
  <si>
    <t xml:space="preserve">NV</t>
  </si>
  <si>
    <t xml:space="preserve">Nevada</t>
  </si>
  <si>
    <t xml:space="preserve">NY</t>
  </si>
  <si>
    <t xml:space="preserve">New York</t>
  </si>
  <si>
    <t xml:space="preserve">OH</t>
  </si>
  <si>
    <t xml:space="preserve">Ohio</t>
  </si>
  <si>
    <t xml:space="preserve">OK</t>
  </si>
  <si>
    <t xml:space="preserve">Oklahoma</t>
  </si>
  <si>
    <t xml:space="preserve">OR</t>
  </si>
  <si>
    <t xml:space="preserve">Oregon</t>
  </si>
  <si>
    <t xml:space="preserve">PA</t>
  </si>
  <si>
    <t xml:space="preserve">Pennsylvania</t>
  </si>
  <si>
    <t xml:space="preserve">PR</t>
  </si>
  <si>
    <t xml:space="preserve">Puerto Rico</t>
  </si>
  <si>
    <t xml:space="preserve">RI</t>
  </si>
  <si>
    <t xml:space="preserve">Rhode Island</t>
  </si>
  <si>
    <t xml:space="preserve">SC</t>
  </si>
  <si>
    <t xml:space="preserve">South Carolina</t>
  </si>
  <si>
    <t xml:space="preserve">SD</t>
  </si>
  <si>
    <t xml:space="preserve">South Dakota</t>
  </si>
  <si>
    <t xml:space="preserve">TN</t>
  </si>
  <si>
    <t xml:space="preserve">Tennessee</t>
  </si>
  <si>
    <t xml:space="preserve">TX</t>
  </si>
  <si>
    <t xml:space="preserve">Texas</t>
  </si>
  <si>
    <t xml:space="preserve">UT</t>
  </si>
  <si>
    <t xml:space="preserve">Utah</t>
  </si>
  <si>
    <t xml:space="preserve">VA</t>
  </si>
  <si>
    <t xml:space="preserve">Virginia</t>
  </si>
  <si>
    <t xml:space="preserve">VT</t>
  </si>
  <si>
    <t xml:space="preserve">Vermont</t>
  </si>
  <si>
    <t xml:space="preserve">WA</t>
  </si>
  <si>
    <t xml:space="preserve">Washington</t>
  </si>
  <si>
    <t xml:space="preserve">WI</t>
  </si>
  <si>
    <t xml:space="preserve">Wisconsin</t>
  </si>
  <si>
    <t xml:space="preserve">WV</t>
  </si>
  <si>
    <t xml:space="preserve">West Virginia</t>
  </si>
  <si>
    <t xml:space="preserve">WY</t>
  </si>
  <si>
    <t xml:space="preserve">Wyoming</t>
  </si>
  <si>
    <t xml:space="preserve">state</t>
  </si>
  <si>
    <t xml:space="preserve">earnings_hs</t>
  </si>
  <si>
    <t xml:space="preserve">earnings_bachelors</t>
  </si>
  <si>
    <t xml:space="preserve">premium_dollars</t>
  </si>
  <si>
    <t xml:space="preserve">premium_ratio</t>
  </si>
  <si>
    <t xml:space="preserve">premium_pct</t>
  </si>
  <si>
    <t xml:space="preserve">cost_of_living_index</t>
  </si>
  <si>
    <t xml:space="preserve">University</t>
  </si>
  <si>
    <t xml:space="preserve">State</t>
  </si>
  <si>
    <t xml:space="preserve">City</t>
  </si>
  <si>
    <t xml:space="preserve">Admission Rate (%)</t>
  </si>
  <si>
    <t xml:space="preserve">Average SAT</t>
  </si>
  <si>
    <t xml:space="preserve">Student Size</t>
  </si>
  <si>
    <t xml:space="preserve">In-State Tuition ($)</t>
  </si>
  <si>
    <t xml:space="preserve">Out-of-State Tuition ($)</t>
  </si>
  <si>
    <t xml:space="preserve">Median Earnings 10yr ($)</t>
  </si>
  <si>
    <t xml:space="preserve">Completion Rate (%)</t>
  </si>
  <si>
    <t xml:space="preserve">Median Debt ($)</t>
  </si>
  <si>
    <t xml:space="preserve">Nobel Prizes</t>
  </si>
  <si>
    <t xml:space="preserve">March Madness 2026</t>
  </si>
  <si>
    <t xml:space="preserve">State Full Name</t>
  </si>
  <si>
    <t xml:space="preserve">State College Wage Premium ($)</t>
  </si>
  <si>
    <t xml:space="preserve">State Baseline Earnings - Bachelors ($)</t>
  </si>
  <si>
    <t xml:space="preserve">Debt-to-Premium Ratio</t>
  </si>
  <si>
    <t xml:space="preserve">Real Earnings vs State Baseline ($)</t>
  </si>
  <si>
    <t xml:space="preserve">Real Earnings vs State Baseline (%)</t>
  </si>
  <si>
    <t xml:space="preserve">Stanford University</t>
  </si>
  <si>
    <t xml:space="preserve">Stanford</t>
  </si>
  <si>
    <t xml:space="preserve">No</t>
  </si>
  <si>
    <t xml:space="preserve">Harvard University</t>
  </si>
  <si>
    <t xml:space="preserve">Cambridge</t>
  </si>
  <si>
    <t xml:space="preserve">Yale University</t>
  </si>
  <si>
    <t xml:space="preserve">New Haven</t>
  </si>
  <si>
    <t xml:space="preserve">Columbia University in the City of New York</t>
  </si>
  <si>
    <t xml:space="preserve">University of Chicago</t>
  </si>
  <si>
    <t xml:space="preserve">Chicago</t>
  </si>
  <si>
    <t xml:space="preserve">Princeton University</t>
  </si>
  <si>
    <t xml:space="preserve">Princeton</t>
  </si>
  <si>
    <t xml:space="preserve">Northeastern University</t>
  </si>
  <si>
    <t xml:space="preserve">Boston</t>
  </si>
  <si>
    <t xml:space="preserve">Brown University</t>
  </si>
  <si>
    <t xml:space="preserve">Providence</t>
  </si>
  <si>
    <t xml:space="preserve">University of Pennsylvania</t>
  </si>
  <si>
    <t xml:space="preserve">Philadelphia</t>
  </si>
  <si>
    <t xml:space="preserve">Yes</t>
  </si>
  <si>
    <t xml:space="preserve">Duke University</t>
  </si>
  <si>
    <t xml:space="preserve">Durham</t>
  </si>
  <si>
    <t xml:space="preserve">Vanderbilt University</t>
  </si>
  <si>
    <t xml:space="preserve">Nashville</t>
  </si>
  <si>
    <t xml:space="preserve">Johns Hopkins University</t>
  </si>
  <si>
    <t xml:space="preserve">Baltimore</t>
  </si>
  <si>
    <t xml:space="preserve">Northwestern University</t>
  </si>
  <si>
    <t xml:space="preserve">Evanston</t>
  </si>
  <si>
    <t xml:space="preserve">Cornell University</t>
  </si>
  <si>
    <t xml:space="preserve">Ithaca</t>
  </si>
  <si>
    <t xml:space="preserve">University of California-Los Angeles</t>
  </si>
  <si>
    <t xml:space="preserve">Los Angeles</t>
  </si>
  <si>
    <t xml:space="preserve">New York University</t>
  </si>
  <si>
    <t xml:space="preserve">University of Southern California</t>
  </si>
  <si>
    <t xml:space="preserve">Emory University</t>
  </si>
  <si>
    <t xml:space="preserve">Atlanta</t>
  </si>
  <si>
    <t xml:space="preserve">University of California-Berkeley</t>
  </si>
  <si>
    <t xml:space="preserve">Berkeley</t>
  </si>
  <si>
    <t xml:space="preserve">Boston University</t>
  </si>
  <si>
    <t xml:space="preserve">University of Notre Dame</t>
  </si>
  <si>
    <t xml:space="preserve">Notre Dame</t>
  </si>
  <si>
    <t xml:space="preserve">Tufts University</t>
  </si>
  <si>
    <t xml:space="preserve">Medford</t>
  </si>
  <si>
    <t xml:space="preserve">Carnegie Mellon University</t>
  </si>
  <si>
    <t xml:space="preserve">Pittsburgh</t>
  </si>
  <si>
    <t xml:space="preserve">Washington University in St Louis</t>
  </si>
  <si>
    <t xml:space="preserve">St. Louis</t>
  </si>
  <si>
    <t xml:space="preserve">Georgetown University</t>
  </si>
  <si>
    <t xml:space="preserve">Tulane University of Louisiana</t>
  </si>
  <si>
    <t xml:space="preserve">New Orleans</t>
  </si>
  <si>
    <t xml:space="preserve">Georgia Institute of Technology-Main Campus</t>
  </si>
  <si>
    <t xml:space="preserve">University of North Carolina at Chapel Hill</t>
  </si>
  <si>
    <t xml:space="preserve">Chapel Hill</t>
  </si>
  <si>
    <t xml:space="preserve">University of Michigan-Ann Arbor</t>
  </si>
  <si>
    <t xml:space="preserve">Ann Arbor</t>
  </si>
  <si>
    <t xml:space="preserve">Boston College</t>
  </si>
  <si>
    <t xml:space="preserve">Chestnut Hill</t>
  </si>
  <si>
    <t xml:space="preserve">University of Virginia-Main Campus</t>
  </si>
  <si>
    <t xml:space="preserve">Charlottesville</t>
  </si>
  <si>
    <t xml:space="preserve">University of Miami</t>
  </si>
  <si>
    <t xml:space="preserve">Coral Gables</t>
  </si>
  <si>
    <t xml:space="preserve">Florida Agricultural and Mechanical University</t>
  </si>
  <si>
    <t xml:space="preserve">Tallahassee</t>
  </si>
  <si>
    <t xml:space="preserve">Wake Forest University</t>
  </si>
  <si>
    <t xml:space="preserve">Winston-Salem</t>
  </si>
  <si>
    <t xml:space="preserve">University of Florida</t>
  </si>
  <si>
    <t xml:space="preserve">Gainesville</t>
  </si>
  <si>
    <t xml:space="preserve">Florida State University</t>
  </si>
  <si>
    <t xml:space="preserve">Lehigh University</t>
  </si>
  <si>
    <t xml:space="preserve">Bethlehem</t>
  </si>
  <si>
    <t xml:space="preserve">The University of Texas at Austin</t>
  </si>
  <si>
    <t xml:space="preserve">Austin</t>
  </si>
  <si>
    <t xml:space="preserve">University of California-San Diego</t>
  </si>
  <si>
    <t xml:space="preserve">La Jolla</t>
  </si>
  <si>
    <t xml:space="preserve">Villanova University</t>
  </si>
  <si>
    <t xml:space="preserve">Villanova</t>
  </si>
  <si>
    <t xml:space="preserve">University of California-Irvine</t>
  </si>
  <si>
    <t xml:space="preserve">Irvine</t>
  </si>
  <si>
    <t xml:space="preserve">California Polytechnic State University-San Luis Obispo</t>
  </si>
  <si>
    <t xml:space="preserve">San Luis Obispo</t>
  </si>
  <si>
    <t xml:space="preserve">University of California-Santa Barbara</t>
  </si>
  <si>
    <t xml:space="preserve">Santa Barbara</t>
  </si>
  <si>
    <t xml:space="preserve">Fairfield University</t>
  </si>
  <si>
    <t xml:space="preserve">Fairfield</t>
  </si>
  <si>
    <t xml:space="preserve">William &amp; Mary</t>
  </si>
  <si>
    <t xml:space="preserve">Williamsburg</t>
  </si>
  <si>
    <t xml:space="preserve">Southern University and A &amp; M College</t>
  </si>
  <si>
    <t xml:space="preserve">Baton Rouge</t>
  </si>
  <si>
    <t xml:space="preserve">San Diego State University</t>
  </si>
  <si>
    <t xml:space="preserve">San Diego</t>
  </si>
  <si>
    <t xml:space="preserve">Case Western Reserve University</t>
  </si>
  <si>
    <t xml:space="preserve">Cleveland</t>
  </si>
  <si>
    <t xml:space="preserve">University of Georgia</t>
  </si>
  <si>
    <t xml:space="preserve">Athens</t>
  </si>
  <si>
    <t xml:space="preserve">Clemson University</t>
  </si>
  <si>
    <t xml:space="preserve">Clemson</t>
  </si>
  <si>
    <t xml:space="preserve">Binghamton University</t>
  </si>
  <si>
    <t xml:space="preserve">Vestal</t>
  </si>
  <si>
    <t xml:space="preserve">University of Washington-Seattle Campus</t>
  </si>
  <si>
    <t xml:space="preserve">Seattle</t>
  </si>
  <si>
    <t xml:space="preserve">University of Rochester</t>
  </si>
  <si>
    <t xml:space="preserve">Rochester</t>
  </si>
  <si>
    <t xml:space="preserve">University of Central Florida</t>
  </si>
  <si>
    <t xml:space="preserve">Orlando</t>
  </si>
  <si>
    <t xml:space="preserve">The University of Tampa</t>
  </si>
  <si>
    <t xml:space="preserve">Tampa</t>
  </si>
  <si>
    <t xml:space="preserve">Howard University</t>
  </si>
  <si>
    <t xml:space="preserve">The University of Tennessee-Knoxville</t>
  </si>
  <si>
    <t xml:space="preserve">Knoxville</t>
  </si>
  <si>
    <t xml:space="preserve">North Carolina State University at Raleigh</t>
  </si>
  <si>
    <t xml:space="preserve">Raleigh</t>
  </si>
  <si>
    <t xml:space="preserve">University of California-Davis</t>
  </si>
  <si>
    <t xml:space="preserve">Davis</t>
  </si>
  <si>
    <t xml:space="preserve">University of Illinois Urbana-Champaign</t>
  </si>
  <si>
    <t xml:space="preserve">Champaign</t>
  </si>
  <si>
    <t xml:space="preserve">University of South Florida</t>
  </si>
  <si>
    <t xml:space="preserve">Berklee College of Music</t>
  </si>
  <si>
    <t xml:space="preserve">Texas A &amp; M International University</t>
  </si>
  <si>
    <t xml:space="preserve">Laredo</t>
  </si>
  <si>
    <t xml:space="preserve">Texas Christian University</t>
  </si>
  <si>
    <t xml:space="preserve">Fort Worth</t>
  </si>
  <si>
    <t xml:space="preserve">University of Maryland-College Park</t>
  </si>
  <si>
    <t xml:space="preserve">College Park</t>
  </si>
  <si>
    <t xml:space="preserve">Loyola Marymount University</t>
  </si>
  <si>
    <t xml:space="preserve">University of Wisconsin-Madison</t>
  </si>
  <si>
    <t xml:space="preserve">Madison</t>
  </si>
  <si>
    <t xml:space="preserve">Auburn University</t>
  </si>
  <si>
    <t xml:space="preserve">Auburn</t>
  </si>
  <si>
    <t xml:space="preserve">Syracuse University</t>
  </si>
  <si>
    <t xml:space="preserve">Syracuse</t>
  </si>
  <si>
    <t xml:space="preserve">California State University-Long Beach</t>
  </si>
  <si>
    <t xml:space="preserve">Long Beach</t>
  </si>
  <si>
    <t xml:space="preserve">George Washington University</t>
  </si>
  <si>
    <t xml:space="preserve">CUNY Bernard M Baruch College</t>
  </si>
  <si>
    <t xml:space="preserve">Santa Clara University</t>
  </si>
  <si>
    <t xml:space="preserve">Santa Clara</t>
  </si>
  <si>
    <t xml:space="preserve">Stony Brook University</t>
  </si>
  <si>
    <t xml:space="preserve">Stony Brook</t>
  </si>
  <si>
    <t xml:space="preserve">Purdue University-Main Campus</t>
  </si>
  <si>
    <t xml:space="preserve">West Lafayette</t>
  </si>
  <si>
    <t xml:space="preserve">North Carolina A &amp; T State University</t>
  </si>
  <si>
    <t xml:space="preserve">Greensboro</t>
  </si>
  <si>
    <t xml:space="preserve">Baylor University</t>
  </si>
  <si>
    <t xml:space="preserve">Waco</t>
  </si>
  <si>
    <t xml:space="preserve">University of West Georgia</t>
  </si>
  <si>
    <t xml:space="preserve">Carrollton</t>
  </si>
  <si>
    <t xml:space="preserve">University of San Diego</t>
  </si>
  <si>
    <t xml:space="preserve">University of Connecticut</t>
  </si>
  <si>
    <t xml:space="preserve">Storrs</t>
  </si>
  <si>
    <t xml:space="preserve">University of North Florida</t>
  </si>
  <si>
    <t xml:space="preserve">Jacksonville</t>
  </si>
  <si>
    <t xml:space="preserve">CUNY Hunter College</t>
  </si>
  <si>
    <t xml:space="preserve">University of Puerto Rico-Rio Piedras</t>
  </si>
  <si>
    <t xml:space="preserve">San Juan</t>
  </si>
  <si>
    <t xml:space="preserve">Florida International University</t>
  </si>
  <si>
    <t xml:space="preserve">Miami</t>
  </si>
  <si>
    <t xml:space="preserve">Virginia Polytechnic Institute and State University</t>
  </si>
  <si>
    <t xml:space="preserve">Blacksburg</t>
  </si>
  <si>
    <t xml:space="preserve">Georgia State University</t>
  </si>
  <si>
    <t xml:space="preserve">University of Michigan-Dearborn</t>
  </si>
  <si>
    <t xml:space="preserve">Dearborn</t>
  </si>
  <si>
    <t xml:space="preserve">Marist University</t>
  </si>
  <si>
    <t xml:space="preserve">Poughkeepsie</t>
  </si>
  <si>
    <t xml:space="preserve">University of Puerto Rico-Mayaguez</t>
  </si>
  <si>
    <t xml:space="preserve">Mayaguez</t>
  </si>
  <si>
    <t xml:space="preserve">CUNY Lehman College</t>
  </si>
  <si>
    <t xml:space="preserve">Bronx</t>
  </si>
  <si>
    <t xml:space="preserve">CUNY John Jay College of Criminal Justice</t>
  </si>
  <si>
    <t xml:space="preserve">Texas A&amp;M University-College Station</t>
  </si>
  <si>
    <t xml:space="preserve">College Station</t>
  </si>
  <si>
    <t xml:space="preserve">Embry-Riddle Aeronautical University-Worldwide</t>
  </si>
  <si>
    <t xml:space="preserve">Daytona Beach</t>
  </si>
  <si>
    <t xml:space="preserve">Alabama A &amp; M University</t>
  </si>
  <si>
    <t xml:space="preserve">Normal</t>
  </si>
  <si>
    <t xml:space="preserve">University of Pittsburgh-Pittsburgh Campus</t>
  </si>
  <si>
    <t xml:space="preserve">Rutgers University-New Brunswick</t>
  </si>
  <si>
    <t xml:space="preserve">New Brunswick</t>
  </si>
  <si>
    <t xml:space="preserve">University of West Florida</t>
  </si>
  <si>
    <t xml:space="preserve">Pensacola</t>
  </si>
  <si>
    <t xml:space="preserve">CUNY Brooklyn College</t>
  </si>
  <si>
    <t xml:space="preserve">Brooklyn</t>
  </si>
  <si>
    <t xml:space="preserve">Fordham University</t>
  </si>
  <si>
    <t xml:space="preserve">University of Akron Main Campus</t>
  </si>
  <si>
    <t xml:space="preserve">Akron</t>
  </si>
  <si>
    <t xml:space="preserve">University of Massachusetts-Amherst</t>
  </si>
  <si>
    <t xml:space="preserve">Amherst</t>
  </si>
  <si>
    <t xml:space="preserve">State University of New York at Cortland</t>
  </si>
  <si>
    <t xml:space="preserve">Cortland</t>
  </si>
  <si>
    <t xml:space="preserve">CUNY City College</t>
  </si>
  <si>
    <t xml:space="preserve">College of Charleston</t>
  </si>
  <si>
    <t xml:space="preserve">Charleston</t>
  </si>
  <si>
    <t xml:space="preserve">University of South Carolina-Columbia</t>
  </si>
  <si>
    <t xml:space="preserve">Columbia</t>
  </si>
  <si>
    <t xml:space="preserve">Worcester Polytechnic Institute</t>
  </si>
  <si>
    <t xml:space="preserve">Worcester</t>
  </si>
  <si>
    <t xml:space="preserve">Fashion Institute of Technology</t>
  </si>
  <si>
    <t xml:space="preserve">Pennsylvania State University-Main Campus</t>
  </si>
  <si>
    <t xml:space="preserve">University Park</t>
  </si>
  <si>
    <t xml:space="preserve">Ohio State University-Main Campus</t>
  </si>
  <si>
    <t xml:space="preserve">Columbus</t>
  </si>
  <si>
    <t xml:space="preserve">Colorado School of Mines</t>
  </si>
  <si>
    <t xml:space="preserve">Golden</t>
  </si>
  <si>
    <t xml:space="preserve">State University of New York at New Paltz</t>
  </si>
  <si>
    <t xml:space="preserve">New Paltz</t>
  </si>
  <si>
    <t xml:space="preserve">University of San Francisco</t>
  </si>
  <si>
    <t xml:space="preserve">San Francisco</t>
  </si>
  <si>
    <t xml:space="preserve">American University</t>
  </si>
  <si>
    <t xml:space="preserve">The College of New Jersey</t>
  </si>
  <si>
    <t xml:space="preserve">Ewing</t>
  </si>
  <si>
    <t xml:space="preserve">University of Missouri-St Louis</t>
  </si>
  <si>
    <t xml:space="preserve">Saint Louis</t>
  </si>
  <si>
    <t xml:space="preserve">Farmingdale State College</t>
  </si>
  <si>
    <t xml:space="preserve">Farmingdale</t>
  </si>
  <si>
    <t xml:space="preserve">Southern Methodist University</t>
  </si>
  <si>
    <t xml:space="preserve">Dallas</t>
  </si>
  <si>
    <t xml:space="preserve">Florida Gulf Coast University</t>
  </si>
  <si>
    <t xml:space="preserve">Fort Myers</t>
  </si>
  <si>
    <t xml:space="preserve">The New School</t>
  </si>
  <si>
    <t xml:space="preserve">Rensselaer Polytechnic Institute</t>
  </si>
  <si>
    <t xml:space="preserve">Troy</t>
  </si>
  <si>
    <t xml:space="preserve">University of Central Missouri</t>
  </si>
  <si>
    <t xml:space="preserve">Warrensburg</t>
  </si>
  <si>
    <t xml:space="preserve">University of North Carolina Wilmington</t>
  </si>
  <si>
    <t xml:space="preserve">Wilmington</t>
  </si>
  <si>
    <t xml:space="preserve">CUNY Queens College</t>
  </si>
  <si>
    <t xml:space="preserve">Queens</t>
  </si>
  <si>
    <t xml:space="preserve">Embry-Riddle Aeronautical University-Daytona Beach</t>
  </si>
  <si>
    <t xml:space="preserve">New Jersey Institute of Technology</t>
  </si>
  <si>
    <t xml:space="preserve">Newark</t>
  </si>
  <si>
    <t xml:space="preserve">The University of Texas at Dallas</t>
  </si>
  <si>
    <t xml:space="preserve">Richardson</t>
  </si>
  <si>
    <t xml:space="preserve">University of Vermont</t>
  </si>
  <si>
    <t xml:space="preserve">Burlington</t>
  </si>
  <si>
    <t xml:space="preserve">Sacred Heart University</t>
  </si>
  <si>
    <t xml:space="preserve">Chapman University</t>
  </si>
  <si>
    <t xml:space="preserve">Orange</t>
  </si>
  <si>
    <t xml:space="preserve">University of Dayton</t>
  </si>
  <si>
    <t xml:space="preserve">Dayton</t>
  </si>
  <si>
    <t xml:space="preserve">University of California-Santa Cruz</t>
  </si>
  <si>
    <t xml:space="preserve">Santa Cruz</t>
  </si>
  <si>
    <t xml:space="preserve">Adelphi University</t>
  </si>
  <si>
    <t xml:space="preserve">Garden City</t>
  </si>
  <si>
    <t xml:space="preserve">Florida Atlantic University</t>
  </si>
  <si>
    <t xml:space="preserve">Boca Raton</t>
  </si>
  <si>
    <t xml:space="preserve">Elon University</t>
  </si>
  <si>
    <t xml:space="preserve">Elon</t>
  </si>
  <si>
    <t xml:space="preserve">Arizona State University Digital Immersion</t>
  </si>
  <si>
    <t xml:space="preserve">Scottsdale</t>
  </si>
  <si>
    <t xml:space="preserve">Rochester Institute of Technology</t>
  </si>
  <si>
    <t xml:space="preserve">Monroe University</t>
  </si>
  <si>
    <t xml:space="preserve">Northern Kentucky University</t>
  </si>
  <si>
    <t xml:space="preserve">Highland Heights</t>
  </si>
  <si>
    <t xml:space="preserve">Brigham Young University</t>
  </si>
  <si>
    <t xml:space="preserve">Provo</t>
  </si>
  <si>
    <t xml:space="preserve">University of North Georgia</t>
  </si>
  <si>
    <t xml:space="preserve">Dahlonega</t>
  </si>
  <si>
    <t xml:space="preserve">Hofstra University</t>
  </si>
  <si>
    <t xml:space="preserve">Hempstead</t>
  </si>
  <si>
    <t xml:space="preserve">University of Alabama in Huntsville</t>
  </si>
  <si>
    <t xml:space="preserve">Huntsville</t>
  </si>
  <si>
    <t xml:space="preserve">Middle Tennessee State University</t>
  </si>
  <si>
    <t xml:space="preserve">Murfreesboro</t>
  </si>
  <si>
    <t xml:space="preserve">University at Albany</t>
  </si>
  <si>
    <t xml:space="preserve">Albany</t>
  </si>
  <si>
    <t xml:space="preserve">Kennesaw State University</t>
  </si>
  <si>
    <t xml:space="preserve">Kennesaw</t>
  </si>
  <si>
    <t xml:space="preserve">Northern Illinois University</t>
  </si>
  <si>
    <t xml:space="preserve">Dekalb</t>
  </si>
  <si>
    <t xml:space="preserve">University of Delaware</t>
  </si>
  <si>
    <t xml:space="preserve">SUNY Brockport</t>
  </si>
  <si>
    <t xml:space="preserve">Brockport</t>
  </si>
  <si>
    <t xml:space="preserve">University of South Alabama</t>
  </si>
  <si>
    <t xml:space="preserve">Mobile</t>
  </si>
  <si>
    <t xml:space="preserve">Rutgers University-Newark</t>
  </si>
  <si>
    <t xml:space="preserve">Slippery Rock University of Pennsylvania</t>
  </si>
  <si>
    <t xml:space="preserve">Slippery Rock</t>
  </si>
  <si>
    <t xml:space="preserve">James Madison University</t>
  </si>
  <si>
    <t xml:space="preserve">Harrisonburg</t>
  </si>
  <si>
    <t xml:space="preserve">University of Memphis</t>
  </si>
  <si>
    <t xml:space="preserve">Memphis</t>
  </si>
  <si>
    <t xml:space="preserve">Saginaw Valley State University</t>
  </si>
  <si>
    <t xml:space="preserve">University Center</t>
  </si>
  <si>
    <t xml:space="preserve">Quinnipiac University</t>
  </si>
  <si>
    <t xml:space="preserve">Hamden</t>
  </si>
  <si>
    <t xml:space="preserve">University of Rhode Island</t>
  </si>
  <si>
    <t xml:space="preserve">Kingston</t>
  </si>
  <si>
    <t xml:space="preserve">University of Missouri-Kansas City</t>
  </si>
  <si>
    <t xml:space="preserve">Kansas City</t>
  </si>
  <si>
    <t xml:space="preserve">University of North Texas</t>
  </si>
  <si>
    <t xml:space="preserve">Denton</t>
  </si>
  <si>
    <t xml:space="preserve">Valdosta State University</t>
  </si>
  <si>
    <t xml:space="preserve">Valdosta</t>
  </si>
  <si>
    <t xml:space="preserve">Purdue University Northwest</t>
  </si>
  <si>
    <t xml:space="preserve">Hammond</t>
  </si>
  <si>
    <t xml:space="preserve">Bowie State University</t>
  </si>
  <si>
    <t xml:space="preserve">Bowie</t>
  </si>
  <si>
    <t xml:space="preserve">University of Maryland-Baltimore County</t>
  </si>
  <si>
    <t xml:space="preserve">Missouri University of Science and Technology</t>
  </si>
  <si>
    <t xml:space="preserve">Rolla</t>
  </si>
  <si>
    <t xml:space="preserve">Texas Tech University</t>
  </si>
  <si>
    <t xml:space="preserve">Lubbock</t>
  </si>
  <si>
    <t xml:space="preserve">SUNY Buffalo State University</t>
  </si>
  <si>
    <t xml:space="preserve">Buffalo</t>
  </si>
  <si>
    <t xml:space="preserve">Nova Southeastern University</t>
  </si>
  <si>
    <t xml:space="preserve">Fort Lauderdale</t>
  </si>
  <si>
    <t xml:space="preserve">Seton Hall University</t>
  </si>
  <si>
    <t xml:space="preserve">South Orange</t>
  </si>
  <si>
    <t xml:space="preserve">Louisiana State University and Agricultural &amp; Mechanical College</t>
  </si>
  <si>
    <t xml:space="preserve">Central Connecticut State University</t>
  </si>
  <si>
    <t xml:space="preserve">New Britain</t>
  </si>
  <si>
    <t xml:space="preserve">Southeast Missouri State University</t>
  </si>
  <si>
    <t xml:space="preserve">Cape Girardeau</t>
  </si>
  <si>
    <t xml:space="preserve">University of Nevada-Reno</t>
  </si>
  <si>
    <t xml:space="preserve">Reno</t>
  </si>
  <si>
    <t xml:space="preserve">University of Houston</t>
  </si>
  <si>
    <t xml:space="preserve">Houston</t>
  </si>
  <si>
    <t xml:space="preserve">University at Buffalo</t>
  </si>
  <si>
    <t xml:space="preserve">University of Arkansas</t>
  </si>
  <si>
    <t xml:space="preserve">Fayetteville</t>
  </si>
  <si>
    <t xml:space="preserve">ECPI University</t>
  </si>
  <si>
    <t xml:space="preserve">Virginia Beach</t>
  </si>
  <si>
    <t xml:space="preserve">University of Colorado Denver/Anschutz Medical Campus</t>
  </si>
  <si>
    <t xml:space="preserve">Denver</t>
  </si>
  <si>
    <t xml:space="preserve">Oklahoma State University-Main Campus</t>
  </si>
  <si>
    <t xml:space="preserve">Stillwater</t>
  </si>
  <si>
    <t xml:space="preserve">Saint Louis University</t>
  </si>
  <si>
    <t xml:space="preserve">California State Polytechnic University-Pomona</t>
  </si>
  <si>
    <t xml:space="preserve">Pomona</t>
  </si>
  <si>
    <t xml:space="preserve">Coastal Carolina University</t>
  </si>
  <si>
    <t xml:space="preserve">Conway</t>
  </si>
  <si>
    <t xml:space="preserve">High Point University</t>
  </si>
  <si>
    <t xml:space="preserve">High Point</t>
  </si>
  <si>
    <t xml:space="preserve">Miami University-Oxford</t>
  </si>
  <si>
    <t xml:space="preserve">Oxford</t>
  </si>
  <si>
    <t xml:space="preserve">Winona State University</t>
  </si>
  <si>
    <t xml:space="preserve">Winona</t>
  </si>
  <si>
    <t xml:space="preserve">University of Wisconsin-La Crosse</t>
  </si>
  <si>
    <t xml:space="preserve">La Crosse</t>
  </si>
  <si>
    <t xml:space="preserve">University of Idaho</t>
  </si>
  <si>
    <t xml:space="preserve">Moscow</t>
  </si>
  <si>
    <t xml:space="preserve">DePaul University</t>
  </si>
  <si>
    <t xml:space="preserve">Kean University</t>
  </si>
  <si>
    <t xml:space="preserve">Union</t>
  </si>
  <si>
    <t xml:space="preserve">Pace University</t>
  </si>
  <si>
    <t xml:space="preserve">Tennessee Technological University</t>
  </si>
  <si>
    <t xml:space="preserve">Cookeville</t>
  </si>
  <si>
    <t xml:space="preserve">Indiana University-Indianapolis</t>
  </si>
  <si>
    <t xml:space="preserve">Indianapolis</t>
  </si>
  <si>
    <t xml:space="preserve">University of California-Riverside</t>
  </si>
  <si>
    <t xml:space="preserve">Riverside</t>
  </si>
  <si>
    <t xml:space="preserve">University of Oklahoma-Norman Campus</t>
  </si>
  <si>
    <t xml:space="preserve">Norman</t>
  </si>
  <si>
    <t xml:space="preserve">The University of Alabama</t>
  </si>
  <si>
    <t xml:space="preserve">Tuscaloosa</t>
  </si>
  <si>
    <t xml:space="preserve">University of North Dakota</t>
  </si>
  <si>
    <t xml:space="preserve">Grand Forks</t>
  </si>
  <si>
    <t xml:space="preserve">Oregon State University</t>
  </si>
  <si>
    <t xml:space="preserve">Corvallis</t>
  </si>
  <si>
    <t xml:space="preserve">University of Illinois Chicago</t>
  </si>
  <si>
    <t xml:space="preserve">Eastern Kentucky University</t>
  </si>
  <si>
    <t xml:space="preserve">Richmond</t>
  </si>
  <si>
    <t xml:space="preserve">Mississippi State University</t>
  </si>
  <si>
    <t xml:space="preserve">Mississippi State</t>
  </si>
  <si>
    <t xml:space="preserve">Rowan University</t>
  </si>
  <si>
    <t xml:space="preserve">Glassboro</t>
  </si>
  <si>
    <t xml:space="preserve">Jacksonville State University</t>
  </si>
  <si>
    <t xml:space="preserve">Harvard vs. Princeton vs. BYU — Debt &amp; Earnings Comparison</t>
  </si>
  <si>
    <t xml:space="preserve">Debt-to-premium ratio and real vs. state-baseline earnings, benchmarked against the national average across all 200 schools.</t>
  </si>
  <si>
    <t xml:space="preserve">Metric</t>
  </si>
  <si>
    <t xml:space="preserve">National Average (200 schools)</t>
  </si>
  <si>
    <t xml:space="preserve">School Median Earnings, 10yr ($)</t>
  </si>
  <si>
    <t xml:space="preserve">State Baseline Earnings - Bachelor's ($)</t>
  </si>
  <si>
    <t xml:space="preserve">Real Earnings vs. State Baseline ($)</t>
  </si>
  <si>
    <t xml:space="preserve">Real Earnings vs. State Baseline (%)</t>
  </si>
  <si>
    <t xml:space="preserve">Legend</t>
  </si>
  <si>
    <t xml:space="preserve">Green = better than national average</t>
  </si>
  <si>
    <t xml:space="preserve">Red = worse than national average</t>
  </si>
  <si>
    <t xml:space="preserve">(For debt-to-premium, lower is better. For earnings-vs-baseline, higher is better.)</t>
  </si>
  <si>
    <t xml:space="preserve">Definitions</t>
  </si>
  <si>
    <t xml:space="preserve">Debt-to-Premium Ratio = Median Debt ÷ State College Wage Premium ($). Lower means the debt load is small relative to the wage boost a bachelor's degree earns in that state.</t>
  </si>
  <si>
    <t xml:space="preserve">State College Wage Premium ($) = state-level median bachelor's earnings minus median high-school-only earnings (college_premium_by_state.csv, Source: US Census / BEA).</t>
  </si>
  <si>
    <t xml:space="preserve">Real Earnings vs. State Baseline = School's Median Earnings (10yr) minus the state's average bachelor's-holder earnings. Shows whether a school's grads out-earn the typical bachelor's degree holder in that state.</t>
  </si>
  <si>
    <t xml:space="preserve">National Average = simple average across all 200 schools in college-data.csv, each matched to its state's premium data by state.</t>
  </si>
  <si>
    <t xml:space="preserve">Sources: college-data.csv (College Scorecard/US Dept of Education, Nobel Prize API, NCAA); college_premium_by_state.csv (US Census, Bureau of Economic Analysis).</t>
  </si>
  <si>
    <t xml:space="preserve">Median Debt ÷ State College Wage Premium. Lower means less debt relative to the wage boost a bachelor's degree earns in that state.</t>
  </si>
  <si>
    <t xml:space="preserve">School's Median Earnings (10yr) minus the state's average bachelor's-holder earnings — how much each school's grads out-earn the typical bachelor's degree holder in that state.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</si>
</sst>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%"/>
    <numFmt numFmtId="166" formatCode="0"/>
    <numFmt numFmtId="167" formatCode="#,##0"/>
    <numFmt numFmtId="168" formatCode="\$#,##0"/>
    <numFmt numFmtId="169" formatCode="0.000"/>
    <numFmt numFmtId="170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002E5D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8F00"/>
      <rgbColor rgb="FFFF6600"/>
      <rgbColor rgb="FF595959"/>
      <rgbColor rgb="FFA6A6A6"/>
      <rgbColor rgb="FF002E5D"/>
      <rgbColor rgb="FF2E7D32"/>
      <rgbColor rgb="FF003300"/>
      <rgbColor rgb="FF333300"/>
      <rgbColor rgb="FFA51C3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Median Debt vs. Median Earnings (10yr)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'3-School Comparison'!A5</c:f>
              <c:strCache>
                <c:ptCount val="1"/>
                <c:pt idx="0">
                  <c:v>Median Debt ($)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'3-School Comparison'!$B$4:$E$4</c:f>
              <c:strCache>
                <c:ptCount val="4"/>
                <c:pt idx="0">
                  <c:v>Harvard University</c:v>
                </c:pt>
                <c:pt idx="1">
                  <c:v>Princeton University</c:v>
                </c:pt>
                <c:pt idx="2">
                  <c:v>Brigham Young University</c:v>
                </c:pt>
                <c:pt idx="3">
                  <c:v>National Average (200 schools)</c:v>
                </c:pt>
              </c:strCache>
            </c:strRef>
          </c:cat>
          <c:val>
            <c:numRef>
              <c:f>'3-School Comparison'!$B$5:$E$5</c:f>
              <c:numCache>
                <c:formatCode>\$#,##0</c:formatCode>
                <c:ptCount val="4"/>
                <c:pt idx="0">
                  <c:v>14000</c:v>
                </c:pt>
                <c:pt idx="1">
                  <c:v>10320</c:v>
                </c:pt>
                <c:pt idx="2">
                  <c:v>11069</c:v>
                </c:pt>
                <c:pt idx="3">
                  <c:v>19824.92</c:v>
                </c:pt>
              </c:numCache>
            </c:numRef>
          </c:val>
        </c:ser>
        <c:ser>
          <c:idx val="1"/>
          <c:order val="1"/>
          <c:tx>
            <c:strRef>
              <c:f>'3-School Comparison'!A8</c:f>
              <c:strCache>
                <c:ptCount val="1"/>
                <c:pt idx="0">
                  <c:v>School Median Earnings, 10yr ($)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'3-School Comparison'!$B$4:$E$4</c:f>
              <c:strCache>
                <c:ptCount val="4"/>
                <c:pt idx="0">
                  <c:v>Harvard University</c:v>
                </c:pt>
                <c:pt idx="1">
                  <c:v>Princeton University</c:v>
                </c:pt>
                <c:pt idx="2">
                  <c:v>Brigham Young University</c:v>
                </c:pt>
                <c:pt idx="3">
                  <c:v>National Average (200 schools)</c:v>
                </c:pt>
              </c:strCache>
            </c:strRef>
          </c:cat>
          <c:val>
            <c:numRef>
              <c:f>'3-School Comparison'!$B$8:$E$8</c:f>
              <c:numCache>
                <c:formatCode>\$#,##0</c:formatCode>
                <c:ptCount val="4"/>
                <c:pt idx="0">
                  <c:v>101817</c:v>
                </c:pt>
                <c:pt idx="1">
                  <c:v>110066</c:v>
                </c:pt>
                <c:pt idx="2">
                  <c:v>75790</c:v>
                </c:pt>
                <c:pt idx="3">
                  <c:v>70114</c:v>
                </c:pt>
              </c:numCache>
            </c:numRef>
          </c:val>
        </c:ser>
        <c:gapWidth val="60"/>
        <c:overlap val="-10"/>
        <c:axId val="15709143"/>
        <c:axId val="71609091"/>
      </c:barChart>
      <c:catAx>
        <c:axId val="15709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609091"/>
        <c:crosses val="autoZero"/>
        <c:auto val="1"/>
        <c:lblAlgn val="ctr"/>
        <c:lblOffset val="100"/>
        <c:noMultiLvlLbl val="0"/>
      </c:catAx>
      <c:valAx>
        <c:axId val="716090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Dollars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7091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Real Earnings vs. State Baseline, % (higher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A51C30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A51C30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FF8F00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002E5D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invertIfNegative val="0"/>
            <c:spPr>
              <a:solidFill>
                <a:srgbClr val="A6A6A6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.0%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'3-School Comparison'!$B$4:$E$4</c:f>
              <c:strCache>
                <c:ptCount val="4"/>
                <c:pt idx="0">
                  <c:v>Harvard University</c:v>
                </c:pt>
                <c:pt idx="1">
                  <c:v>Princeton University</c:v>
                </c:pt>
                <c:pt idx="2">
                  <c:v>Brigham Young University</c:v>
                </c:pt>
                <c:pt idx="3">
                  <c:v>National Average (200 schools)</c:v>
                </c:pt>
              </c:strCache>
            </c:strRef>
          </c:cat>
          <c:val>
            <c:numRef>
              <c:f>'3-School Comparison'!$B$11:$E$11</c:f>
              <c:numCache>
                <c:formatCode>0.0%</c:formatCode>
                <c:ptCount val="4"/>
                <c:pt idx="0">
                  <c:v>0.27295117834594</c:v>
                </c:pt>
                <c:pt idx="1">
                  <c:v>0.373867239184163</c:v>
                </c:pt>
                <c:pt idx="2">
                  <c:v>0.198317706768701</c:v>
                </c:pt>
                <c:pt idx="3">
                  <c:v>0.023803203916222</c:v>
                </c:pt>
              </c:numCache>
            </c:numRef>
          </c:val>
        </c:ser>
        <c:gapWidth val="60"/>
        <c:overlap val="0"/>
        <c:axId val="76813994"/>
        <c:axId val="75800182"/>
      </c:barChart>
      <c:catAx>
        <c:axId val="768139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800182"/>
        <c:crosses val="autoZero"/>
        <c:auto val="1"/>
        <c:lblAlgn val="ctr"/>
        <c:lblOffset val="100"/>
        <c:noMultiLvlLbl val="0"/>
      </c:catAx>
      <c:valAx>
        <c:axId val="758001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above state baseline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8139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Debt-to-Premium Ratio (lower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A51C30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A51C30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FF8F00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002E5D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invertIfNegative val="0"/>
            <c:spPr>
              <a:solidFill>
                <a:srgbClr val="A6A6A6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numFmt formatCode="0.000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0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00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00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.000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'3-School Comparison'!$B$4:$E$4</c:f>
              <c:strCache>
                <c:ptCount val="4"/>
                <c:pt idx="0">
                  <c:v>Harvard University</c:v>
                </c:pt>
                <c:pt idx="1">
                  <c:v>Princeton University</c:v>
                </c:pt>
                <c:pt idx="2">
                  <c:v>Brigham Young University</c:v>
                </c:pt>
                <c:pt idx="3">
                  <c:v>National Average (200 schools)</c:v>
                </c:pt>
              </c:strCache>
            </c:strRef>
          </c:cat>
          <c:val>
            <c:numRef>
              <c:f>'3-School Comparison'!$B$7:$E$7</c:f>
              <c:numCache>
                <c:formatCode>0.000</c:formatCode>
                <c:ptCount val="4"/>
                <c:pt idx="0">
                  <c:v>0.386484098939929</c:v>
                </c:pt>
                <c:pt idx="1">
                  <c:v>0.267454517182398</c:v>
                </c:pt>
                <c:pt idx="2">
                  <c:v>0.519500633594593</c:v>
                </c:pt>
                <c:pt idx="3">
                  <c:v>0.707160898947634</c:v>
                </c:pt>
              </c:numCache>
            </c:numRef>
          </c:val>
        </c:ser>
        <c:gapWidth val="60"/>
        <c:overlap val="0"/>
        <c:axId val="95750223"/>
        <c:axId val="95934938"/>
      </c:barChart>
      <c:catAx>
        <c:axId val="957502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934938"/>
        <c:crosses val="autoZero"/>
        <c:auto val="1"/>
        <c:lblAlgn val="ctr"/>
        <c:lblOffset val="100"/>
        <c:noMultiLvlLbl val="0"/>
      </c:catAx>
      <c:valAx>
        <c:axId val="959349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7502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Real Earnings vs. State Baseline, $ (higher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A51C30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A51C30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FF8F00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002E5D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invertIfNegative val="0"/>
            <c:spPr>
              <a:solidFill>
                <a:srgbClr val="A6A6A6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numFmt formatCode="\$#,##0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\$#,##0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\$#,##0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\$#,##0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\$#,##0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'3-School Comparison'!$B$4:$E$4</c:f>
              <c:strCache>
                <c:ptCount val="4"/>
                <c:pt idx="0">
                  <c:v>Harvard University</c:v>
                </c:pt>
                <c:pt idx="1">
                  <c:v>Princeton University</c:v>
                </c:pt>
                <c:pt idx="2">
                  <c:v>Brigham Young University</c:v>
                </c:pt>
                <c:pt idx="3">
                  <c:v>National Average (200 schools)</c:v>
                </c:pt>
              </c:strCache>
            </c:strRef>
          </c:cat>
          <c:val>
            <c:numRef>
              <c:f>'3-School Comparison'!$B$10:$E$10</c:f>
              <c:numCache>
                <c:formatCode>\$#,##0</c:formatCode>
                <c:ptCount val="4"/>
                <c:pt idx="0">
                  <c:v>21832</c:v>
                </c:pt>
                <c:pt idx="1">
                  <c:v>29952</c:v>
                </c:pt>
                <c:pt idx="2">
                  <c:v>12543</c:v>
                </c:pt>
                <c:pt idx="3">
                  <c:v>1313.33</c:v>
                </c:pt>
              </c:numCache>
            </c:numRef>
          </c:val>
        </c:ser>
        <c:gapWidth val="60"/>
        <c:overlap val="0"/>
        <c:axId val="85472101"/>
        <c:axId val="61487514"/>
      </c:barChart>
      <c:catAx>
        <c:axId val="85472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487514"/>
        <c:crosses val="autoZero"/>
        <c:auto val="1"/>
        <c:lblAlgn val="ctr"/>
        <c:lblOffset val="100"/>
        <c:noMultiLvlLbl val="0"/>
      </c:catAx>
      <c:valAx>
        <c:axId val="614875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Dollars above state baseline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4721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54</xdr:row>
      <xdr:rowOff>0</xdr:rowOff>
    </xdr:from>
    <xdr:to>
      <xdr:col>14</xdr:col>
      <xdr:colOff>256680</xdr:colOff>
      <xdr:row>70</xdr:row>
      <xdr:rowOff>190080</xdr:rowOff>
    </xdr:to>
    <xdr:graphicFrame>
      <xdr:nvGraphicFramePr>
        <xdr:cNvPr id="1" name="Chart 2"/>
        <xdr:cNvGraphicFramePr/>
      </xdr:nvGraphicFramePr>
      <xdr:xfrm>
        <a:off x="11409120" y="10458360"/>
        <a:ext cx="575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738720</xdr:colOff>
      <xdr:row>36</xdr:row>
      <xdr:rowOff>26640</xdr:rowOff>
    </xdr:from>
    <xdr:to>
      <xdr:col>12</xdr:col>
      <xdr:colOff>123840</xdr:colOff>
      <xdr:row>54</xdr:row>
      <xdr:rowOff>16920</xdr:rowOff>
    </xdr:to>
    <xdr:graphicFrame>
      <xdr:nvGraphicFramePr>
        <xdr:cNvPr id="2" name="Chart 1"/>
        <xdr:cNvGraphicFramePr/>
      </xdr:nvGraphicFramePr>
      <xdr:xfrm>
        <a:off x="9540000" y="7056000"/>
        <a:ext cx="6119280" cy="34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1785960</xdr:colOff>
      <xdr:row>46</xdr:row>
      <xdr:rowOff>30600</xdr:rowOff>
    </xdr:from>
    <xdr:to>
      <xdr:col>5</xdr:col>
      <xdr:colOff>218520</xdr:colOff>
      <xdr:row>47</xdr:row>
      <xdr:rowOff>182880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10587240" y="8965080"/>
          <a:ext cx="352800" cy="34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6</xdr:col>
      <xdr:colOff>524520</xdr:colOff>
      <xdr:row>44</xdr:row>
      <xdr:rowOff>90000</xdr:rowOff>
    </xdr:from>
    <xdr:to>
      <xdr:col>7</xdr:col>
      <xdr:colOff>189720</xdr:colOff>
      <xdr:row>46</xdr:row>
      <xdr:rowOff>160200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11933640" y="8643600"/>
          <a:ext cx="352800" cy="451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8</xdr:col>
      <xdr:colOff>515160</xdr:colOff>
      <xdr:row>47</xdr:row>
      <xdr:rowOff>52200</xdr:rowOff>
    </xdr:from>
    <xdr:to>
      <xdr:col>9</xdr:col>
      <xdr:colOff>141120</xdr:colOff>
      <xdr:row>48</xdr:row>
      <xdr:rowOff>176400</xdr:rowOff>
    </xdr:to>
    <xdr:pic>
      <xdr:nvPicPr>
        <xdr:cNvPr id="5" name="Image 5" descr="Picture"/>
        <xdr:cNvPicPr/>
      </xdr:nvPicPr>
      <xdr:blipFill>
        <a:blip r:embed="rId5"/>
        <a:stretch/>
      </xdr:blipFill>
      <xdr:spPr>
        <a:xfrm>
          <a:off x="13299480" y="9177120"/>
          <a:ext cx="313920" cy="314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108000</xdr:colOff>
      <xdr:row>4</xdr:row>
      <xdr:rowOff>145440</xdr:rowOff>
    </xdr:from>
    <xdr:to>
      <xdr:col>9</xdr:col>
      <xdr:colOff>685440</xdr:colOff>
      <xdr:row>25</xdr:row>
      <xdr:rowOff>104040</xdr:rowOff>
    </xdr:to>
    <xdr:graphicFrame>
      <xdr:nvGraphicFramePr>
        <xdr:cNvPr id="6" name="Chart 1"/>
        <xdr:cNvGraphicFramePr/>
      </xdr:nvGraphicFramePr>
      <xdr:xfrm>
        <a:off x="108000" y="936000"/>
        <a:ext cx="71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460800</xdr:colOff>
      <xdr:row>14</xdr:row>
      <xdr:rowOff>104400</xdr:rowOff>
    </xdr:from>
    <xdr:to>
      <xdr:col>2</xdr:col>
      <xdr:colOff>138600</xdr:colOff>
      <xdr:row>16</xdr:row>
      <xdr:rowOff>78480</xdr:rowOff>
    </xdr:to>
    <xdr:pic>
      <xdr:nvPicPr>
        <xdr:cNvPr id="7" name="Image 2" descr="Picture"/>
        <xdr:cNvPicPr/>
      </xdr:nvPicPr>
      <xdr:blipFill>
        <a:blip r:embed="rId2"/>
        <a:stretch/>
      </xdr:blipFill>
      <xdr:spPr>
        <a:xfrm>
          <a:off x="1581120" y="2800080"/>
          <a:ext cx="365400" cy="354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32400</xdr:colOff>
      <xdr:row>15</xdr:row>
      <xdr:rowOff>79560</xdr:rowOff>
    </xdr:from>
    <xdr:to>
      <xdr:col>4</xdr:col>
      <xdr:colOff>224280</xdr:colOff>
      <xdr:row>16</xdr:row>
      <xdr:rowOff>134640</xdr:rowOff>
    </xdr:to>
    <xdr:pic>
      <xdr:nvPicPr>
        <xdr:cNvPr id="8" name="Image 3" descr="Picture"/>
        <xdr:cNvPicPr/>
      </xdr:nvPicPr>
      <xdr:blipFill>
        <a:blip r:embed="rId3"/>
        <a:stretch/>
      </xdr:blipFill>
      <xdr:spPr>
        <a:xfrm>
          <a:off x="3215520" y="2965680"/>
          <a:ext cx="191880" cy="245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6</xdr:col>
      <xdr:colOff>93600</xdr:colOff>
      <xdr:row>13</xdr:row>
      <xdr:rowOff>96480</xdr:rowOff>
    </xdr:from>
    <xdr:to>
      <xdr:col>6</xdr:col>
      <xdr:colOff>508680</xdr:colOff>
      <xdr:row>15</xdr:row>
      <xdr:rowOff>131400</xdr:rowOff>
    </xdr:to>
    <xdr:pic>
      <xdr:nvPicPr>
        <xdr:cNvPr id="9" name="Image 4" descr="Picture"/>
        <xdr:cNvPicPr/>
      </xdr:nvPicPr>
      <xdr:blipFill>
        <a:blip r:embed="rId4"/>
        <a:stretch/>
      </xdr:blipFill>
      <xdr:spPr>
        <a:xfrm>
          <a:off x="4652280" y="2601720"/>
          <a:ext cx="415080" cy="415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108000</xdr:colOff>
      <xdr:row>4</xdr:row>
      <xdr:rowOff>145440</xdr:rowOff>
    </xdr:from>
    <xdr:to>
      <xdr:col>9</xdr:col>
      <xdr:colOff>685440</xdr:colOff>
      <xdr:row>25</xdr:row>
      <xdr:rowOff>104040</xdr:rowOff>
    </xdr:to>
    <xdr:graphicFrame>
      <xdr:nvGraphicFramePr>
        <xdr:cNvPr id="10" name="Chart 1"/>
        <xdr:cNvGraphicFramePr/>
      </xdr:nvGraphicFramePr>
      <xdr:xfrm>
        <a:off x="108000" y="936000"/>
        <a:ext cx="71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557280</xdr:colOff>
      <xdr:row>14</xdr:row>
      <xdr:rowOff>83520</xdr:rowOff>
    </xdr:from>
    <xdr:to>
      <xdr:col>2</xdr:col>
      <xdr:colOff>284760</xdr:colOff>
      <xdr:row>16</xdr:row>
      <xdr:rowOff>106200</xdr:rowOff>
    </xdr:to>
    <xdr:pic>
      <xdr:nvPicPr>
        <xdr:cNvPr id="11" name="Image 2" descr="Picture"/>
        <xdr:cNvPicPr/>
      </xdr:nvPicPr>
      <xdr:blipFill>
        <a:blip r:embed="rId2"/>
        <a:stretch/>
      </xdr:blipFill>
      <xdr:spPr>
        <a:xfrm>
          <a:off x="1677600" y="2779200"/>
          <a:ext cx="415080" cy="40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23040</xdr:colOff>
      <xdr:row>13</xdr:row>
      <xdr:rowOff>51480</xdr:rowOff>
    </xdr:from>
    <xdr:to>
      <xdr:col>4</xdr:col>
      <xdr:colOff>438120</xdr:colOff>
      <xdr:row>16</xdr:row>
      <xdr:rowOff>10800</xdr:rowOff>
    </xdr:to>
    <xdr:pic>
      <xdr:nvPicPr>
        <xdr:cNvPr id="12" name="Image 3" descr="Picture"/>
        <xdr:cNvPicPr/>
      </xdr:nvPicPr>
      <xdr:blipFill>
        <a:blip r:embed="rId3"/>
        <a:stretch/>
      </xdr:blipFill>
      <xdr:spPr>
        <a:xfrm>
          <a:off x="3206160" y="2556720"/>
          <a:ext cx="415080" cy="530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6</xdr:col>
      <xdr:colOff>231840</xdr:colOff>
      <xdr:row>15</xdr:row>
      <xdr:rowOff>153360</xdr:rowOff>
    </xdr:from>
    <xdr:to>
      <xdr:col>6</xdr:col>
      <xdr:colOff>494640</xdr:colOff>
      <xdr:row>17</xdr:row>
      <xdr:rowOff>35640</xdr:rowOff>
    </xdr:to>
    <xdr:pic>
      <xdr:nvPicPr>
        <xdr:cNvPr id="13" name="Image 4" descr="Picture"/>
        <xdr:cNvPicPr/>
      </xdr:nvPicPr>
      <xdr:blipFill>
        <a:blip r:embed="rId4"/>
        <a:stretch/>
      </xdr:blipFill>
      <xdr:spPr>
        <a:xfrm>
          <a:off x="4790520" y="3039480"/>
          <a:ext cx="262800" cy="26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3" t="s">
        <v>3</v>
      </c>
    </row>
    <row r="3" customFormat="false" ht="15" hidden="false" customHeight="true" outlineLevel="0" collapsed="false">
      <c r="A3" s="3" t="s">
        <v>4</v>
      </c>
      <c r="B3" s="3" t="s">
        <v>5</v>
      </c>
    </row>
    <row r="4" customFormat="false" ht="15" hidden="false" customHeight="true" outlineLevel="0" collapsed="false">
      <c r="A4" s="3" t="s">
        <v>6</v>
      </c>
      <c r="B4" s="3" t="s">
        <v>7</v>
      </c>
    </row>
    <row r="5" customFormat="false" ht="15" hidden="false" customHeight="true" outlineLevel="0" collapsed="false">
      <c r="A5" s="3" t="s">
        <v>8</v>
      </c>
      <c r="B5" s="3" t="s">
        <v>9</v>
      </c>
    </row>
    <row r="6" customFormat="false" ht="15" hidden="false" customHeight="true" outlineLevel="0" collapsed="false">
      <c r="A6" s="3" t="s">
        <v>10</v>
      </c>
      <c r="B6" s="3" t="s">
        <v>11</v>
      </c>
    </row>
    <row r="7" customFormat="false" ht="15" hidden="false" customHeight="true" outlineLevel="0" collapsed="false">
      <c r="A7" s="3" t="s">
        <v>12</v>
      </c>
      <c r="B7" s="3" t="s">
        <v>13</v>
      </c>
    </row>
    <row r="8" customFormat="false" ht="15" hidden="false" customHeight="true" outlineLevel="0" collapsed="false">
      <c r="A8" s="3" t="s">
        <v>14</v>
      </c>
      <c r="B8" s="3" t="s">
        <v>15</v>
      </c>
    </row>
    <row r="9" customFormat="false" ht="15" hidden="false" customHeight="true" outlineLevel="0" collapsed="false">
      <c r="A9" s="3" t="s">
        <v>16</v>
      </c>
      <c r="B9" s="3" t="s">
        <v>17</v>
      </c>
    </row>
    <row r="10" customFormat="false" ht="15" hidden="false" customHeight="true" outlineLevel="0" collapsed="false">
      <c r="A10" s="3" t="s">
        <v>18</v>
      </c>
      <c r="B10" s="3" t="s">
        <v>19</v>
      </c>
    </row>
    <row r="11" customFormat="false" ht="15" hidden="false" customHeight="true" outlineLevel="0" collapsed="false">
      <c r="A11" s="3" t="s">
        <v>20</v>
      </c>
      <c r="B11" s="3" t="s">
        <v>21</v>
      </c>
    </row>
    <row r="12" customFormat="false" ht="15" hidden="false" customHeight="true" outlineLevel="0" collapsed="false">
      <c r="A12" s="3" t="s">
        <v>22</v>
      </c>
      <c r="B12" s="3" t="s">
        <v>23</v>
      </c>
    </row>
    <row r="13" customFormat="false" ht="15" hidden="false" customHeight="true" outlineLevel="0" collapsed="false">
      <c r="A13" s="3" t="s">
        <v>24</v>
      </c>
      <c r="B13" s="3" t="s">
        <v>25</v>
      </c>
    </row>
    <row r="14" customFormat="false" ht="15" hidden="false" customHeight="true" outlineLevel="0" collapsed="false">
      <c r="A14" s="3" t="s">
        <v>26</v>
      </c>
      <c r="B14" s="3" t="s">
        <v>27</v>
      </c>
    </row>
    <row r="15" customFormat="false" ht="15" hidden="false" customHeight="true" outlineLevel="0" collapsed="false">
      <c r="A15" s="3" t="s">
        <v>28</v>
      </c>
      <c r="B15" s="3" t="s">
        <v>29</v>
      </c>
    </row>
    <row r="16" customFormat="false" ht="15" hidden="false" customHeight="true" outlineLevel="0" collapsed="false">
      <c r="A16" s="3" t="s">
        <v>30</v>
      </c>
      <c r="B16" s="3" t="s">
        <v>31</v>
      </c>
    </row>
    <row r="17" customFormat="false" ht="15" hidden="false" customHeight="true" outlineLevel="0" collapsed="false">
      <c r="A17" s="3" t="s">
        <v>32</v>
      </c>
      <c r="B17" s="3" t="s">
        <v>33</v>
      </c>
    </row>
    <row r="18" customFormat="false" ht="15" hidden="false" customHeight="true" outlineLevel="0" collapsed="false">
      <c r="A18" s="3" t="s">
        <v>34</v>
      </c>
      <c r="B18" s="3" t="s">
        <v>35</v>
      </c>
    </row>
    <row r="19" customFormat="false" ht="15" hidden="false" customHeight="true" outlineLevel="0" collapsed="false">
      <c r="A19" s="3" t="s">
        <v>36</v>
      </c>
      <c r="B19" s="3" t="s">
        <v>37</v>
      </c>
    </row>
    <row r="20" customFormat="false" ht="15" hidden="false" customHeight="true" outlineLevel="0" collapsed="false">
      <c r="A20" s="3" t="s">
        <v>38</v>
      </c>
      <c r="B20" s="3" t="s">
        <v>39</v>
      </c>
    </row>
    <row r="21" customFormat="false" ht="15" hidden="false" customHeight="true" outlineLevel="0" collapsed="false">
      <c r="A21" s="3" t="s">
        <v>40</v>
      </c>
      <c r="B21" s="3" t="s">
        <v>41</v>
      </c>
    </row>
    <row r="22" customFormat="false" ht="15" hidden="false" customHeight="true" outlineLevel="0" collapsed="false">
      <c r="A22" s="3" t="s">
        <v>42</v>
      </c>
      <c r="B22" s="3" t="s">
        <v>43</v>
      </c>
    </row>
    <row r="23" customFormat="false" ht="15" hidden="false" customHeight="true" outlineLevel="0" collapsed="false">
      <c r="A23" s="3" t="s">
        <v>44</v>
      </c>
      <c r="B23" s="3" t="s">
        <v>45</v>
      </c>
    </row>
    <row r="24" customFormat="false" ht="15" hidden="false" customHeight="true" outlineLevel="0" collapsed="false">
      <c r="A24" s="3" t="s">
        <v>46</v>
      </c>
      <c r="B24" s="3" t="s">
        <v>47</v>
      </c>
    </row>
    <row r="25" customFormat="false" ht="15" hidden="false" customHeight="true" outlineLevel="0" collapsed="false">
      <c r="A25" s="3" t="s">
        <v>48</v>
      </c>
      <c r="B25" s="3" t="s">
        <v>49</v>
      </c>
    </row>
    <row r="26" customFormat="false" ht="15" hidden="false" customHeight="true" outlineLevel="0" collapsed="false">
      <c r="A26" s="3" t="s">
        <v>50</v>
      </c>
      <c r="B26" s="3" t="s">
        <v>51</v>
      </c>
    </row>
    <row r="27" customFormat="false" ht="15" hidden="false" customHeight="true" outlineLevel="0" collapsed="false">
      <c r="A27" s="3" t="s">
        <v>52</v>
      </c>
      <c r="B27" s="3" t="s">
        <v>53</v>
      </c>
    </row>
    <row r="28" customFormat="false" ht="15" hidden="false" customHeight="true" outlineLevel="0" collapsed="false">
      <c r="A28" s="3" t="s">
        <v>54</v>
      </c>
      <c r="B28" s="3" t="s">
        <v>55</v>
      </c>
    </row>
    <row r="29" customFormat="false" ht="15" hidden="false" customHeight="true" outlineLevel="0" collapsed="false">
      <c r="A29" s="3" t="s">
        <v>56</v>
      </c>
      <c r="B29" s="3" t="s">
        <v>57</v>
      </c>
    </row>
    <row r="30" customFormat="false" ht="15" hidden="false" customHeight="true" outlineLevel="0" collapsed="false">
      <c r="A30" s="3" t="s">
        <v>58</v>
      </c>
      <c r="B30" s="3" t="s">
        <v>59</v>
      </c>
    </row>
    <row r="31" customFormat="false" ht="15" hidden="false" customHeight="true" outlineLevel="0" collapsed="false">
      <c r="A31" s="3" t="s">
        <v>60</v>
      </c>
      <c r="B31" s="3" t="s">
        <v>61</v>
      </c>
    </row>
    <row r="32" customFormat="false" ht="15" hidden="false" customHeight="true" outlineLevel="0" collapsed="false">
      <c r="A32" s="3" t="s">
        <v>62</v>
      </c>
      <c r="B32" s="3" t="s">
        <v>63</v>
      </c>
    </row>
    <row r="33" customFormat="false" ht="15" hidden="false" customHeight="true" outlineLevel="0" collapsed="false">
      <c r="A33" s="3" t="s">
        <v>64</v>
      </c>
      <c r="B33" s="3" t="s">
        <v>65</v>
      </c>
    </row>
    <row r="34" customFormat="false" ht="15" hidden="false" customHeight="true" outlineLevel="0" collapsed="false">
      <c r="A34" s="3" t="s">
        <v>66</v>
      </c>
      <c r="B34" s="3" t="s">
        <v>67</v>
      </c>
    </row>
    <row r="35" customFormat="false" ht="15" hidden="false" customHeight="true" outlineLevel="0" collapsed="false">
      <c r="A35" s="3" t="s">
        <v>68</v>
      </c>
      <c r="B35" s="3" t="s">
        <v>69</v>
      </c>
    </row>
    <row r="36" customFormat="false" ht="15" hidden="false" customHeight="true" outlineLevel="0" collapsed="false">
      <c r="A36" s="3" t="s">
        <v>70</v>
      </c>
      <c r="B36" s="3" t="s">
        <v>71</v>
      </c>
    </row>
    <row r="37" customFormat="false" ht="15" hidden="false" customHeight="true" outlineLevel="0" collapsed="false">
      <c r="A37" s="3" t="s">
        <v>72</v>
      </c>
      <c r="B37" s="3" t="s">
        <v>73</v>
      </c>
    </row>
    <row r="38" customFormat="false" ht="15" hidden="false" customHeight="true" outlineLevel="0" collapsed="false">
      <c r="A38" s="3" t="s">
        <v>74</v>
      </c>
      <c r="B38" s="3" t="s">
        <v>75</v>
      </c>
    </row>
    <row r="39" customFormat="false" ht="15" hidden="false" customHeight="true" outlineLevel="0" collapsed="false">
      <c r="A39" s="3" t="s">
        <v>76</v>
      </c>
      <c r="B39" s="3" t="s">
        <v>77</v>
      </c>
    </row>
    <row r="40" customFormat="false" ht="15" hidden="false" customHeight="true" outlineLevel="0" collapsed="false">
      <c r="A40" s="3" t="s">
        <v>78</v>
      </c>
      <c r="B40" s="3" t="s">
        <v>79</v>
      </c>
    </row>
    <row r="41" customFormat="false" ht="15" hidden="false" customHeight="true" outlineLevel="0" collapsed="false">
      <c r="A41" s="3" t="s">
        <v>80</v>
      </c>
      <c r="B41" s="3" t="s">
        <v>81</v>
      </c>
    </row>
    <row r="42" customFormat="false" ht="15" hidden="false" customHeight="true" outlineLevel="0" collapsed="false">
      <c r="A42" s="3" t="s">
        <v>82</v>
      </c>
      <c r="B42" s="3" t="s">
        <v>83</v>
      </c>
    </row>
    <row r="43" customFormat="false" ht="15" hidden="false" customHeight="true" outlineLevel="0" collapsed="false">
      <c r="A43" s="3" t="s">
        <v>84</v>
      </c>
      <c r="B43" s="3" t="s">
        <v>85</v>
      </c>
    </row>
    <row r="44" customFormat="false" ht="15" hidden="false" customHeight="true" outlineLevel="0" collapsed="false">
      <c r="A44" s="3" t="s">
        <v>86</v>
      </c>
      <c r="B44" s="3" t="s">
        <v>87</v>
      </c>
    </row>
    <row r="45" customFormat="false" ht="15" hidden="false" customHeight="true" outlineLevel="0" collapsed="false">
      <c r="A45" s="3" t="s">
        <v>88</v>
      </c>
      <c r="B45" s="3" t="s">
        <v>89</v>
      </c>
    </row>
    <row r="46" customFormat="false" ht="15" hidden="false" customHeight="true" outlineLevel="0" collapsed="false">
      <c r="A46" s="3" t="s">
        <v>90</v>
      </c>
      <c r="B46" s="3" t="s">
        <v>91</v>
      </c>
    </row>
    <row r="47" customFormat="false" ht="15" hidden="false" customHeight="true" outlineLevel="0" collapsed="false">
      <c r="A47" s="3" t="s">
        <v>92</v>
      </c>
      <c r="B47" s="3" t="s">
        <v>93</v>
      </c>
    </row>
    <row r="48" customFormat="false" ht="15" hidden="false" customHeight="true" outlineLevel="0" collapsed="false">
      <c r="A48" s="3" t="s">
        <v>94</v>
      </c>
      <c r="B48" s="3" t="s">
        <v>95</v>
      </c>
    </row>
    <row r="49" customFormat="false" ht="15" hidden="false" customHeight="true" outlineLevel="0" collapsed="false">
      <c r="A49" s="3" t="s">
        <v>96</v>
      </c>
      <c r="B49" s="3" t="s">
        <v>97</v>
      </c>
    </row>
    <row r="50" customFormat="false" ht="15" hidden="false" customHeight="true" outlineLevel="0" collapsed="false">
      <c r="A50" s="3" t="s">
        <v>98</v>
      </c>
      <c r="B50" s="3" t="s">
        <v>99</v>
      </c>
    </row>
    <row r="51" customFormat="false" ht="15" hidden="false" customHeight="true" outlineLevel="0" collapsed="false">
      <c r="A51" s="3" t="s">
        <v>100</v>
      </c>
      <c r="B51" s="3" t="s">
        <v>101</v>
      </c>
    </row>
    <row r="52" customFormat="false" ht="15" hidden="false" customHeight="true" outlineLevel="0" collapsed="false">
      <c r="A52" s="3" t="s">
        <v>102</v>
      </c>
      <c r="B52" s="3" t="s">
        <v>103</v>
      </c>
    </row>
    <row r="53" customFormat="false" ht="15" hidden="false" customHeight="true" outlineLevel="0" collapsed="false">
      <c r="A53" s="3" t="s">
        <v>104</v>
      </c>
      <c r="B53" s="3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0"/>
    <col collapsed="false" customWidth="true" hidden="false" outlineLevel="0" max="4" min="4" style="1" width="17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22"/>
  </cols>
  <sheetData>
    <row r="1" customFormat="false" ht="15" hidden="false" customHeight="true" outlineLevel="0" collapsed="false">
      <c r="A1" s="2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</row>
    <row r="2" customFormat="false" ht="15" hidden="false" customHeight="true" outlineLevel="0" collapsed="false">
      <c r="A2" s="3" t="s">
        <v>17</v>
      </c>
      <c r="B2" s="3" t="n">
        <v>40715</v>
      </c>
      <c r="C2" s="3" t="n">
        <v>95628</v>
      </c>
      <c r="D2" s="3" t="n">
        <v>54913</v>
      </c>
      <c r="E2" s="3" t="n">
        <v>2.35</v>
      </c>
      <c r="F2" s="3" t="n">
        <v>135</v>
      </c>
      <c r="G2" s="3" t="n">
        <v>109.9</v>
      </c>
    </row>
    <row r="3" customFormat="false" ht="15" hidden="false" customHeight="true" outlineLevel="0" collapsed="false">
      <c r="A3" s="3" t="s">
        <v>65</v>
      </c>
      <c r="B3" s="3" t="n">
        <v>41528</v>
      </c>
      <c r="C3" s="3" t="n">
        <v>80114</v>
      </c>
      <c r="D3" s="3" t="n">
        <v>38586</v>
      </c>
      <c r="E3" s="3" t="n">
        <v>1.93</v>
      </c>
      <c r="F3" s="3" t="n">
        <v>93</v>
      </c>
      <c r="G3" s="3" t="n">
        <v>108.8</v>
      </c>
    </row>
    <row r="4" customFormat="false" ht="15" hidden="false" customHeight="true" outlineLevel="0" collapsed="false">
      <c r="A4" s="3" t="s">
        <v>11</v>
      </c>
      <c r="B4" s="3" t="n">
        <v>40803</v>
      </c>
      <c r="C4" s="3" t="n">
        <v>78278</v>
      </c>
      <c r="D4" s="3" t="n">
        <v>37475</v>
      </c>
      <c r="E4" s="3" t="n">
        <v>1.92</v>
      </c>
      <c r="F4" s="3" t="n">
        <v>92</v>
      </c>
      <c r="G4" s="3" t="n">
        <v>110.7</v>
      </c>
    </row>
    <row r="5" customFormat="false" ht="15" hidden="false" customHeight="true" outlineLevel="0" collapsed="false">
      <c r="A5" s="3" t="s">
        <v>71</v>
      </c>
      <c r="B5" s="3" t="n">
        <v>39771</v>
      </c>
      <c r="C5" s="3" t="n">
        <v>74504</v>
      </c>
      <c r="D5" s="3" t="n">
        <v>34733</v>
      </c>
      <c r="E5" s="3" t="n">
        <v>1.87</v>
      </c>
      <c r="F5" s="3" t="n">
        <v>87</v>
      </c>
      <c r="G5" s="3" t="n">
        <v>107.9</v>
      </c>
    </row>
    <row r="6" customFormat="false" ht="15" hidden="false" customHeight="true" outlineLevel="0" collapsed="false">
      <c r="A6" s="3" t="s">
        <v>41</v>
      </c>
      <c r="B6" s="3" t="n">
        <v>43761</v>
      </c>
      <c r="C6" s="3" t="n">
        <v>79985</v>
      </c>
      <c r="D6" s="3" t="n">
        <v>36224</v>
      </c>
      <c r="E6" s="3" t="n">
        <v>1.83</v>
      </c>
      <c r="F6" s="3" t="n">
        <v>83</v>
      </c>
      <c r="G6" s="3" t="n">
        <v>105.8</v>
      </c>
    </row>
    <row r="7" customFormat="false" ht="15" hidden="false" customHeight="true" outlineLevel="0" collapsed="false">
      <c r="A7" s="3" t="s">
        <v>95</v>
      </c>
      <c r="B7" s="3" t="n">
        <v>41061</v>
      </c>
      <c r="C7" s="3" t="n">
        <v>74468</v>
      </c>
      <c r="D7" s="3" t="n">
        <v>33407</v>
      </c>
      <c r="E7" s="3" t="n">
        <v>1.81</v>
      </c>
      <c r="F7" s="3" t="n">
        <v>81</v>
      </c>
      <c r="G7" s="3" t="n">
        <v>101.1</v>
      </c>
    </row>
    <row r="8" customFormat="false" ht="15" hidden="false" customHeight="true" outlineLevel="0" collapsed="false">
      <c r="A8" s="3" t="s">
        <v>81</v>
      </c>
      <c r="B8" s="3" t="n">
        <v>16957</v>
      </c>
      <c r="C8" s="3" t="n">
        <v>30562</v>
      </c>
      <c r="D8" s="3" t="n">
        <v>13605</v>
      </c>
      <c r="E8" s="3" t="n">
        <v>1.8</v>
      </c>
      <c r="F8" s="3" t="n">
        <v>80</v>
      </c>
      <c r="G8" s="3"/>
    </row>
    <row r="9" customFormat="false" ht="15" hidden="false" customHeight="true" outlineLevel="0" collapsed="false">
      <c r="A9" s="3" t="s">
        <v>15</v>
      </c>
      <c r="B9" s="3" t="n">
        <v>42120</v>
      </c>
      <c r="C9" s="3" t="n">
        <v>75975</v>
      </c>
      <c r="D9" s="3" t="n">
        <v>33855</v>
      </c>
      <c r="E9" s="3" t="n">
        <v>1.8</v>
      </c>
      <c r="F9" s="3" t="n">
        <v>80</v>
      </c>
      <c r="G9" s="3" t="n">
        <v>103.6</v>
      </c>
    </row>
    <row r="10" customFormat="false" ht="15" hidden="false" customHeight="true" outlineLevel="0" collapsed="false">
      <c r="A10" s="3" t="s">
        <v>43</v>
      </c>
      <c r="B10" s="3" t="n">
        <v>42778</v>
      </c>
      <c r="C10" s="3" t="n">
        <v>76748</v>
      </c>
      <c r="D10" s="3" t="n">
        <v>33970</v>
      </c>
      <c r="E10" s="3" t="n">
        <v>1.79</v>
      </c>
      <c r="F10" s="3" t="n">
        <v>79</v>
      </c>
      <c r="G10" s="3" t="n">
        <v>105</v>
      </c>
    </row>
    <row r="11" customFormat="false" ht="15" hidden="false" customHeight="true" outlineLevel="0" collapsed="false">
      <c r="A11" s="3" t="s">
        <v>91</v>
      </c>
      <c r="B11" s="3" t="n">
        <v>37086</v>
      </c>
      <c r="C11" s="3" t="n">
        <v>66474</v>
      </c>
      <c r="D11" s="3" t="n">
        <v>29388</v>
      </c>
      <c r="E11" s="3" t="n">
        <v>1.79</v>
      </c>
      <c r="F11" s="3" t="n">
        <v>79</v>
      </c>
      <c r="G11" s="3" t="n">
        <v>97.1</v>
      </c>
    </row>
    <row r="12" customFormat="false" ht="15" hidden="false" customHeight="true" outlineLevel="0" collapsed="false">
      <c r="A12" s="3" t="s">
        <v>31</v>
      </c>
      <c r="B12" s="3" t="n">
        <v>40285</v>
      </c>
      <c r="C12" s="3" t="n">
        <v>71127</v>
      </c>
      <c r="D12" s="3" t="n">
        <v>30842</v>
      </c>
      <c r="E12" s="3" t="n">
        <v>1.77</v>
      </c>
      <c r="F12" s="3" t="n">
        <v>77</v>
      </c>
      <c r="G12" s="3" t="n">
        <v>100</v>
      </c>
    </row>
    <row r="13" customFormat="false" ht="15" hidden="false" customHeight="true" outlineLevel="0" collapsed="false">
      <c r="A13" s="3" t="s">
        <v>47</v>
      </c>
      <c r="B13" s="3" t="n">
        <v>36823</v>
      </c>
      <c r="C13" s="3" t="n">
        <v>64810</v>
      </c>
      <c r="D13" s="3" t="n">
        <v>27987</v>
      </c>
      <c r="E13" s="3" t="n">
        <v>1.76</v>
      </c>
      <c r="F13" s="3" t="n">
        <v>76</v>
      </c>
      <c r="G13" s="3" t="n">
        <v>96.2</v>
      </c>
    </row>
    <row r="14" customFormat="false" ht="15" hidden="false" customHeight="true" outlineLevel="0" collapsed="false">
      <c r="A14" s="3" t="s">
        <v>99</v>
      </c>
      <c r="B14" s="3" t="n">
        <v>44866</v>
      </c>
      <c r="C14" s="3" t="n">
        <v>78485</v>
      </c>
      <c r="D14" s="3" t="n">
        <v>33619</v>
      </c>
      <c r="E14" s="3" t="n">
        <v>1.75</v>
      </c>
      <c r="F14" s="3" t="n">
        <v>75</v>
      </c>
      <c r="G14" s="3" t="n">
        <v>107</v>
      </c>
    </row>
    <row r="15" customFormat="false" ht="15" hidden="false" customHeight="true" outlineLevel="0" collapsed="false">
      <c r="A15" s="3" t="s">
        <v>23</v>
      </c>
      <c r="B15" s="3" t="n">
        <v>36820</v>
      </c>
      <c r="C15" s="3" t="n">
        <v>64185</v>
      </c>
      <c r="D15" s="3" t="n">
        <v>27365</v>
      </c>
      <c r="E15" s="3" t="n">
        <v>1.74</v>
      </c>
      <c r="F15" s="3" t="n">
        <v>74</v>
      </c>
      <c r="G15" s="3" t="n">
        <v>96.3</v>
      </c>
    </row>
    <row r="16" customFormat="false" ht="15" hidden="false" customHeight="true" outlineLevel="0" collapsed="false">
      <c r="A16" s="3" t="s">
        <v>13</v>
      </c>
      <c r="B16" s="3" t="n">
        <v>42541</v>
      </c>
      <c r="C16" s="3" t="n">
        <v>73072</v>
      </c>
      <c r="D16" s="3" t="n">
        <v>30531</v>
      </c>
      <c r="E16" s="3" t="n">
        <v>1.72</v>
      </c>
      <c r="F16" s="3" t="n">
        <v>72</v>
      </c>
      <c r="G16" s="3" t="n">
        <v>103.1</v>
      </c>
    </row>
    <row r="17" customFormat="false" ht="15" hidden="false" customHeight="true" outlineLevel="0" collapsed="false">
      <c r="A17" s="3" t="s">
        <v>77</v>
      </c>
      <c r="B17" s="3" t="n">
        <v>39308</v>
      </c>
      <c r="C17" s="3" t="n">
        <v>67100</v>
      </c>
      <c r="D17" s="3" t="n">
        <v>27792</v>
      </c>
      <c r="E17" s="3" t="n">
        <v>1.71</v>
      </c>
      <c r="F17" s="3" t="n">
        <v>71</v>
      </c>
      <c r="G17" s="3" t="n">
        <v>103.4</v>
      </c>
    </row>
    <row r="18" customFormat="false" ht="15" hidden="false" customHeight="true" outlineLevel="0" collapsed="false">
      <c r="A18" s="3" t="s">
        <v>73</v>
      </c>
      <c r="B18" s="3" t="n">
        <v>37990</v>
      </c>
      <c r="C18" s="3" t="n">
        <v>64933</v>
      </c>
      <c r="D18" s="3" t="n">
        <v>26943</v>
      </c>
      <c r="E18" s="3" t="n">
        <v>1.71</v>
      </c>
      <c r="F18" s="3" t="n">
        <v>71</v>
      </c>
      <c r="G18" s="3" t="n">
        <v>92.8</v>
      </c>
    </row>
    <row r="19" customFormat="false" ht="15" hidden="false" customHeight="true" outlineLevel="0" collapsed="false">
      <c r="A19" s="3" t="s">
        <v>57</v>
      </c>
      <c r="B19" s="3" t="n">
        <v>36723</v>
      </c>
      <c r="C19" s="3" t="n">
        <v>62338</v>
      </c>
      <c r="D19" s="3" t="n">
        <v>25615</v>
      </c>
      <c r="E19" s="3" t="n">
        <v>1.7</v>
      </c>
      <c r="F19" s="3" t="n">
        <v>70</v>
      </c>
      <c r="G19" s="3" t="n">
        <v>94.3</v>
      </c>
    </row>
    <row r="20" customFormat="false" ht="15" hidden="false" customHeight="true" outlineLevel="0" collapsed="false">
      <c r="A20" s="3" t="s">
        <v>49</v>
      </c>
      <c r="B20" s="3" t="n">
        <v>42435</v>
      </c>
      <c r="C20" s="3" t="n">
        <v>71254</v>
      </c>
      <c r="D20" s="3" t="n">
        <v>28819</v>
      </c>
      <c r="E20" s="3" t="n">
        <v>1.68</v>
      </c>
      <c r="F20" s="3" t="n">
        <v>68</v>
      </c>
      <c r="G20" s="3" t="n">
        <v>98.6</v>
      </c>
    </row>
    <row r="21" customFormat="false" ht="15" hidden="false" customHeight="true" outlineLevel="0" collapsed="false">
      <c r="A21" s="3" t="s">
        <v>67</v>
      </c>
      <c r="B21" s="3" t="n">
        <v>33075</v>
      </c>
      <c r="C21" s="3" t="n">
        <v>55421</v>
      </c>
      <c r="D21" s="3" t="n">
        <v>22346</v>
      </c>
      <c r="E21" s="3" t="n">
        <v>1.68</v>
      </c>
      <c r="F21" s="3" t="n">
        <v>68</v>
      </c>
      <c r="G21" s="3" t="n">
        <v>92.2</v>
      </c>
    </row>
    <row r="22" customFormat="false" ht="15" hidden="false" customHeight="true" outlineLevel="0" collapsed="false">
      <c r="A22" s="3" t="s">
        <v>19</v>
      </c>
      <c r="B22" s="3" t="n">
        <v>38872</v>
      </c>
      <c r="C22" s="3" t="n">
        <v>64157</v>
      </c>
      <c r="D22" s="3" t="n">
        <v>25285</v>
      </c>
      <c r="E22" s="3" t="n">
        <v>1.65</v>
      </c>
      <c r="F22" s="3" t="n">
        <v>65</v>
      </c>
      <c r="G22" s="3" t="n">
        <v>99.8</v>
      </c>
    </row>
    <row r="23" customFormat="false" ht="15" hidden="false" customHeight="true" outlineLevel="0" collapsed="false">
      <c r="A23" s="3" t="s">
        <v>85</v>
      </c>
      <c r="B23" s="3" t="n">
        <v>36740</v>
      </c>
      <c r="C23" s="3" t="n">
        <v>60590</v>
      </c>
      <c r="D23" s="3" t="n">
        <v>23850</v>
      </c>
      <c r="E23" s="3" t="n">
        <v>1.65</v>
      </c>
      <c r="F23" s="3" t="n">
        <v>65</v>
      </c>
      <c r="G23" s="3" t="n">
        <v>93.7</v>
      </c>
    </row>
    <row r="24" customFormat="false" ht="15" hidden="false" customHeight="true" outlineLevel="0" collapsed="false">
      <c r="A24" s="3" t="s">
        <v>51</v>
      </c>
      <c r="B24" s="3" t="n">
        <v>37420</v>
      </c>
      <c r="C24" s="3" t="n">
        <v>61418</v>
      </c>
      <c r="D24" s="3" t="n">
        <v>23998</v>
      </c>
      <c r="E24" s="3" t="n">
        <v>1.64</v>
      </c>
      <c r="F24" s="3" t="n">
        <v>64</v>
      </c>
      <c r="G24" s="3" t="n">
        <v>90.8</v>
      </c>
    </row>
    <row r="25" customFormat="false" ht="15" hidden="false" customHeight="true" outlineLevel="0" collapsed="false">
      <c r="A25" s="3" t="s">
        <v>5</v>
      </c>
      <c r="B25" s="3" t="n">
        <v>36615</v>
      </c>
      <c r="C25" s="3" t="n">
        <v>60156</v>
      </c>
      <c r="D25" s="3" t="n">
        <v>23541</v>
      </c>
      <c r="E25" s="3" t="n">
        <v>1.64</v>
      </c>
      <c r="F25" s="3" t="n">
        <v>64</v>
      </c>
      <c r="G25" s="3" t="n">
        <v>88.8</v>
      </c>
    </row>
    <row r="26" customFormat="false" ht="15" hidden="false" customHeight="true" outlineLevel="0" collapsed="false">
      <c r="A26" s="3" t="s">
        <v>37</v>
      </c>
      <c r="B26" s="3" t="n">
        <v>36636</v>
      </c>
      <c r="C26" s="3" t="n">
        <v>60185</v>
      </c>
      <c r="D26" s="3" t="n">
        <v>23549</v>
      </c>
      <c r="E26" s="3" t="n">
        <v>1.64</v>
      </c>
      <c r="F26" s="3" t="n">
        <v>64</v>
      </c>
      <c r="G26" s="3" t="n">
        <v>90.2</v>
      </c>
    </row>
    <row r="27" customFormat="false" ht="15" hidden="false" customHeight="true" outlineLevel="0" collapsed="false">
      <c r="A27" s="3" t="s">
        <v>9</v>
      </c>
      <c r="B27" s="3" t="n">
        <v>40648</v>
      </c>
      <c r="C27" s="3" t="n">
        <v>66683</v>
      </c>
      <c r="D27" s="3" t="n">
        <v>26035</v>
      </c>
      <c r="E27" s="3" t="n">
        <v>1.64</v>
      </c>
      <c r="F27" s="3" t="n">
        <v>64</v>
      </c>
      <c r="G27" s="3" t="n">
        <v>100.7</v>
      </c>
    </row>
    <row r="28" customFormat="false" ht="15" hidden="false" customHeight="true" outlineLevel="0" collapsed="false">
      <c r="A28" s="3" t="s">
        <v>53</v>
      </c>
      <c r="B28" s="3" t="n">
        <v>32125</v>
      </c>
      <c r="C28" s="3" t="n">
        <v>52266</v>
      </c>
      <c r="D28" s="3" t="n">
        <v>20141</v>
      </c>
      <c r="E28" s="3" t="n">
        <v>1.63</v>
      </c>
      <c r="F28" s="3" t="n">
        <v>63</v>
      </c>
      <c r="G28" s="3" t="n">
        <v>87</v>
      </c>
    </row>
    <row r="29" customFormat="false" ht="15" hidden="false" customHeight="true" outlineLevel="0" collapsed="false">
      <c r="A29" s="3" t="s">
        <v>79</v>
      </c>
      <c r="B29" s="3" t="n">
        <v>40336</v>
      </c>
      <c r="C29" s="3" t="n">
        <v>65678</v>
      </c>
      <c r="D29" s="3" t="n">
        <v>25342</v>
      </c>
      <c r="E29" s="3" t="n">
        <v>1.63</v>
      </c>
      <c r="F29" s="3" t="n">
        <v>63</v>
      </c>
      <c r="G29" s="3" t="n">
        <v>97.6</v>
      </c>
    </row>
    <row r="30" customFormat="false" ht="15" hidden="false" customHeight="true" outlineLevel="0" collapsed="false">
      <c r="A30" s="3" t="s">
        <v>35</v>
      </c>
      <c r="B30" s="3" t="n">
        <v>37333</v>
      </c>
      <c r="C30" s="3" t="n">
        <v>60620</v>
      </c>
      <c r="D30" s="3" t="n">
        <v>23287</v>
      </c>
      <c r="E30" s="3" t="n">
        <v>1.62</v>
      </c>
      <c r="F30" s="3" t="n">
        <v>62</v>
      </c>
      <c r="G30" s="3" t="n">
        <v>90.1</v>
      </c>
    </row>
    <row r="31" customFormat="false" ht="15" hidden="false" customHeight="true" outlineLevel="0" collapsed="false">
      <c r="A31" s="3" t="s">
        <v>89</v>
      </c>
      <c r="B31" s="3" t="n">
        <v>37693</v>
      </c>
      <c r="C31" s="3" t="n">
        <v>61189</v>
      </c>
      <c r="D31" s="3" t="n">
        <v>23496</v>
      </c>
      <c r="E31" s="3" t="n">
        <v>1.62</v>
      </c>
      <c r="F31" s="3" t="n">
        <v>62</v>
      </c>
      <c r="G31" s="3" t="n">
        <v>91.9</v>
      </c>
    </row>
    <row r="32" customFormat="false" ht="15" hidden="false" customHeight="true" outlineLevel="0" collapsed="false">
      <c r="A32" s="3" t="s">
        <v>21</v>
      </c>
      <c r="B32" s="3" t="n">
        <v>36384</v>
      </c>
      <c r="C32" s="3" t="n">
        <v>58009</v>
      </c>
      <c r="D32" s="3" t="n">
        <v>21625</v>
      </c>
      <c r="E32" s="3" t="n">
        <v>1.59</v>
      </c>
      <c r="F32" s="3" t="n">
        <v>59</v>
      </c>
      <c r="G32" s="3" t="n">
        <v>103.4</v>
      </c>
    </row>
    <row r="33" customFormat="false" ht="15" hidden="false" customHeight="true" outlineLevel="0" collapsed="false">
      <c r="A33" s="3" t="s">
        <v>103</v>
      </c>
      <c r="B33" s="3" t="n">
        <v>35532</v>
      </c>
      <c r="C33" s="3" t="n">
        <v>56648</v>
      </c>
      <c r="D33" s="3" t="n">
        <v>21116</v>
      </c>
      <c r="E33" s="3" t="n">
        <v>1.59</v>
      </c>
      <c r="F33" s="3" t="n">
        <v>59</v>
      </c>
      <c r="G33" s="3" t="n">
        <v>89.5</v>
      </c>
    </row>
    <row r="34" customFormat="false" ht="15" hidden="false" customHeight="true" outlineLevel="0" collapsed="false">
      <c r="A34" s="3" t="s">
        <v>39</v>
      </c>
      <c r="B34" s="3" t="n">
        <v>36132</v>
      </c>
      <c r="C34" s="3" t="n">
        <v>57107</v>
      </c>
      <c r="D34" s="3" t="n">
        <v>20975</v>
      </c>
      <c r="E34" s="3" t="n">
        <v>1.58</v>
      </c>
      <c r="F34" s="3" t="n">
        <v>58</v>
      </c>
      <c r="G34" s="3" t="n">
        <v>88.2</v>
      </c>
    </row>
    <row r="35" customFormat="false" ht="15" hidden="false" customHeight="true" outlineLevel="0" collapsed="false">
      <c r="A35" s="3" t="s">
        <v>83</v>
      </c>
      <c r="B35" s="3" t="n">
        <v>43157</v>
      </c>
      <c r="C35" s="3" t="n">
        <v>68084</v>
      </c>
      <c r="D35" s="3" t="n">
        <v>24927</v>
      </c>
      <c r="E35" s="3" t="n">
        <v>1.58</v>
      </c>
      <c r="F35" s="3" t="n">
        <v>58</v>
      </c>
      <c r="G35" s="3" t="n">
        <v>102.3</v>
      </c>
    </row>
    <row r="36" customFormat="false" ht="15" hidden="false" customHeight="true" outlineLevel="0" collapsed="false">
      <c r="A36" s="3" t="s">
        <v>3</v>
      </c>
      <c r="B36" s="3" t="n">
        <v>43086</v>
      </c>
      <c r="C36" s="3" t="n">
        <v>67221</v>
      </c>
      <c r="D36" s="3" t="n">
        <v>24135</v>
      </c>
      <c r="E36" s="3" t="n">
        <v>1.56</v>
      </c>
      <c r="F36" s="3" t="n">
        <v>56</v>
      </c>
      <c r="G36" s="3" t="n">
        <v>102.4</v>
      </c>
    </row>
    <row r="37" customFormat="false" ht="15" hidden="false" customHeight="true" outlineLevel="0" collapsed="false">
      <c r="A37" s="3" t="s">
        <v>7</v>
      </c>
      <c r="B37" s="3" t="n">
        <v>36012</v>
      </c>
      <c r="C37" s="3" t="n">
        <v>56314</v>
      </c>
      <c r="D37" s="3" t="n">
        <v>20302</v>
      </c>
      <c r="E37" s="3" t="n">
        <v>1.56</v>
      </c>
      <c r="F37" s="3" t="n">
        <v>56</v>
      </c>
      <c r="G37" s="3" t="n">
        <v>86.9</v>
      </c>
    </row>
    <row r="38" customFormat="false" ht="15" hidden="false" customHeight="true" outlineLevel="0" collapsed="false">
      <c r="A38" s="3" t="s">
        <v>69</v>
      </c>
      <c r="B38" s="3" t="n">
        <v>39090</v>
      </c>
      <c r="C38" s="3" t="n">
        <v>60775</v>
      </c>
      <c r="D38" s="3" t="n">
        <v>21685</v>
      </c>
      <c r="E38" s="3" t="n">
        <v>1.55</v>
      </c>
      <c r="F38" s="3" t="n">
        <v>55</v>
      </c>
      <c r="G38" s="3" t="n">
        <v>100</v>
      </c>
    </row>
    <row r="39" customFormat="false" ht="15" hidden="false" customHeight="true" outlineLevel="0" collapsed="false">
      <c r="A39" s="3" t="s">
        <v>61</v>
      </c>
      <c r="B39" s="3" t="n">
        <v>39565</v>
      </c>
      <c r="C39" s="3" t="n">
        <v>61239</v>
      </c>
      <c r="D39" s="3" t="n">
        <v>21674</v>
      </c>
      <c r="E39" s="3" t="n">
        <v>1.55</v>
      </c>
      <c r="F39" s="3" t="n">
        <v>55</v>
      </c>
      <c r="G39" s="3" t="n">
        <v>90.1</v>
      </c>
    </row>
    <row r="40" customFormat="false" ht="15" hidden="false" customHeight="true" outlineLevel="0" collapsed="false">
      <c r="A40" s="3" t="s">
        <v>101</v>
      </c>
      <c r="B40" s="3" t="n">
        <v>41604</v>
      </c>
      <c r="C40" s="3" t="n">
        <v>64320</v>
      </c>
      <c r="D40" s="3" t="n">
        <v>22716</v>
      </c>
      <c r="E40" s="3" t="n">
        <v>1.55</v>
      </c>
      <c r="F40" s="3" t="n">
        <v>55</v>
      </c>
      <c r="G40" s="3" t="n">
        <v>94.1</v>
      </c>
    </row>
    <row r="41" customFormat="false" ht="15" hidden="false" customHeight="true" outlineLevel="0" collapsed="false">
      <c r="A41" s="3" t="s">
        <v>75</v>
      </c>
      <c r="B41" s="3" t="n">
        <v>35929</v>
      </c>
      <c r="C41" s="3" t="n">
        <v>55663</v>
      </c>
      <c r="D41" s="3" t="n">
        <v>19734</v>
      </c>
      <c r="E41" s="3" t="n">
        <v>1.55</v>
      </c>
      <c r="F41" s="3" t="n">
        <v>55</v>
      </c>
      <c r="G41" s="3" t="n">
        <v>87.8</v>
      </c>
    </row>
    <row r="42" customFormat="false" ht="15" hidden="false" customHeight="true" outlineLevel="0" collapsed="false">
      <c r="A42" s="3" t="s">
        <v>33</v>
      </c>
      <c r="B42" s="3" t="n">
        <v>39496</v>
      </c>
      <c r="C42" s="3" t="n">
        <v>60573</v>
      </c>
      <c r="D42" s="3" t="n">
        <v>21077</v>
      </c>
      <c r="E42" s="3" t="n">
        <v>1.53</v>
      </c>
      <c r="F42" s="3" t="n">
        <v>53</v>
      </c>
      <c r="G42" s="3" t="n">
        <v>93.3</v>
      </c>
    </row>
    <row r="43" customFormat="false" ht="15" hidden="false" customHeight="true" outlineLevel="0" collapsed="false">
      <c r="A43" s="3" t="s">
        <v>63</v>
      </c>
      <c r="B43" s="3" t="n">
        <v>47266</v>
      </c>
      <c r="C43" s="3" t="n">
        <v>71325</v>
      </c>
      <c r="D43" s="3" t="n">
        <v>24059</v>
      </c>
      <c r="E43" s="3" t="n">
        <v>1.51</v>
      </c>
      <c r="F43" s="3" t="n">
        <v>51</v>
      </c>
      <c r="G43" s="3" t="n">
        <v>104.2</v>
      </c>
    </row>
    <row r="44" customFormat="false" ht="15" hidden="false" customHeight="true" outlineLevel="0" collapsed="false">
      <c r="A44" s="3" t="s">
        <v>93</v>
      </c>
      <c r="B44" s="3" t="n">
        <v>41940</v>
      </c>
      <c r="C44" s="3" t="n">
        <v>63247</v>
      </c>
      <c r="D44" s="3" t="n">
        <v>21307</v>
      </c>
      <c r="E44" s="3" t="n">
        <v>1.51</v>
      </c>
      <c r="F44" s="3" t="n">
        <v>51</v>
      </c>
      <c r="G44" s="3" t="n">
        <v>98.9</v>
      </c>
    </row>
    <row r="45" customFormat="false" ht="15" hidden="false" customHeight="true" outlineLevel="0" collapsed="false">
      <c r="A45" s="3" t="s">
        <v>25</v>
      </c>
      <c r="B45" s="3" t="n">
        <v>41038</v>
      </c>
      <c r="C45" s="3" t="n">
        <v>61448</v>
      </c>
      <c r="D45" s="3" t="n">
        <v>20410</v>
      </c>
      <c r="E45" s="3" t="n">
        <v>1.5</v>
      </c>
      <c r="F45" s="3" t="n">
        <v>50</v>
      </c>
      <c r="G45" s="3" t="n">
        <v>110</v>
      </c>
    </row>
    <row r="46" customFormat="false" ht="15" hidden="false" customHeight="true" outlineLevel="0" collapsed="false">
      <c r="A46" s="3" t="s">
        <v>27</v>
      </c>
      <c r="B46" s="3" t="n">
        <v>40533</v>
      </c>
      <c r="C46" s="3" t="n">
        <v>60754</v>
      </c>
      <c r="D46" s="3" t="n">
        <v>20221</v>
      </c>
      <c r="E46" s="3" t="n">
        <v>1.5</v>
      </c>
      <c r="F46" s="3" t="n">
        <v>50</v>
      </c>
      <c r="G46" s="3" t="n">
        <v>87.8</v>
      </c>
    </row>
    <row r="47" customFormat="false" ht="15" hidden="false" customHeight="true" outlineLevel="0" collapsed="false">
      <c r="A47" s="3" t="s">
        <v>29</v>
      </c>
      <c r="B47" s="3" t="n">
        <v>38530</v>
      </c>
      <c r="C47" s="3" t="n">
        <v>57342</v>
      </c>
      <c r="D47" s="3" t="n">
        <v>18812</v>
      </c>
      <c r="E47" s="3" t="n">
        <v>1.49</v>
      </c>
      <c r="F47" s="3" t="n">
        <v>49</v>
      </c>
      <c r="G47" s="3" t="n">
        <v>95.5</v>
      </c>
    </row>
    <row r="48" customFormat="false" ht="15" hidden="false" customHeight="true" outlineLevel="0" collapsed="false">
      <c r="A48" s="3" t="s">
        <v>59</v>
      </c>
      <c r="B48" s="3" t="n">
        <v>41665</v>
      </c>
      <c r="C48" s="3" t="n">
        <v>61164</v>
      </c>
      <c r="D48" s="3" t="n">
        <v>19499</v>
      </c>
      <c r="E48" s="3" t="n">
        <v>1.47</v>
      </c>
      <c r="F48" s="3" t="n">
        <v>47</v>
      </c>
      <c r="G48" s="3" t="n">
        <v>89</v>
      </c>
    </row>
    <row r="49" customFormat="false" ht="15" hidden="false" customHeight="true" outlineLevel="0" collapsed="false">
      <c r="A49" s="3" t="s">
        <v>105</v>
      </c>
      <c r="B49" s="3" t="n">
        <v>40102</v>
      </c>
      <c r="C49" s="3" t="n">
        <v>58331</v>
      </c>
      <c r="D49" s="3" t="n">
        <v>18229</v>
      </c>
      <c r="E49" s="3" t="n">
        <v>1.45</v>
      </c>
      <c r="F49" s="3" t="n">
        <v>45</v>
      </c>
      <c r="G49" s="3" t="n">
        <v>92.7</v>
      </c>
    </row>
    <row r="50" customFormat="false" ht="15" hidden="false" customHeight="true" outlineLevel="0" collapsed="false">
      <c r="A50" s="3" t="s">
        <v>87</v>
      </c>
      <c r="B50" s="3" t="n">
        <v>39793</v>
      </c>
      <c r="C50" s="3" t="n">
        <v>56517</v>
      </c>
      <c r="D50" s="3" t="n">
        <v>16724</v>
      </c>
      <c r="E50" s="3" t="n">
        <v>1.42</v>
      </c>
      <c r="F50" s="3" t="n">
        <v>42</v>
      </c>
      <c r="G50" s="3" t="n">
        <v>88.6</v>
      </c>
    </row>
    <row r="51" customFormat="false" ht="15" hidden="false" customHeight="true" outlineLevel="0" collapsed="false">
      <c r="A51" s="3" t="s">
        <v>55</v>
      </c>
      <c r="B51" s="3" t="n">
        <v>39263</v>
      </c>
      <c r="C51" s="3" t="n">
        <v>54642</v>
      </c>
      <c r="D51" s="3" t="n">
        <v>15379</v>
      </c>
      <c r="E51" s="3" t="n">
        <v>1.39</v>
      </c>
      <c r="F51" s="3" t="n">
        <v>39</v>
      </c>
      <c r="G51" s="3" t="n">
        <v>94.6</v>
      </c>
    </row>
    <row r="52" customFormat="false" ht="15" hidden="false" customHeight="true" outlineLevel="0" collapsed="false">
      <c r="A52" s="3" t="s">
        <v>45</v>
      </c>
      <c r="B52" s="3" t="n">
        <v>40817</v>
      </c>
      <c r="C52" s="3" t="n">
        <v>55592</v>
      </c>
      <c r="D52" s="3" t="n">
        <v>14775</v>
      </c>
      <c r="E52" s="3" t="n">
        <v>1.36</v>
      </c>
      <c r="F52" s="3" t="n">
        <v>36</v>
      </c>
      <c r="G52" s="3" t="n">
        <v>97</v>
      </c>
    </row>
    <row r="53" customFormat="false" ht="15" hidden="false" customHeight="true" outlineLevel="0" collapsed="false">
      <c r="A53" s="3" t="s">
        <v>97</v>
      </c>
      <c r="B53" s="3" t="n">
        <v>43810</v>
      </c>
      <c r="C53" s="3" t="n">
        <v>56741</v>
      </c>
      <c r="D53" s="3" t="n">
        <v>12931</v>
      </c>
      <c r="E53" s="3" t="n">
        <v>1.3</v>
      </c>
      <c r="F53" s="3" t="n">
        <v>30</v>
      </c>
      <c r="G53" s="3" t="n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8"/>
    <col collapsed="false" customWidth="true" hidden="false" outlineLevel="0" max="13" min="13" style="1" width="12"/>
    <col collapsed="false" customWidth="true" hidden="false" outlineLevel="0" max="15" min="14" style="1" width="16"/>
    <col collapsed="false" customWidth="true" hidden="false" outlineLevel="0" max="16" min="16" style="1" width="18"/>
    <col collapsed="false" customWidth="true" hidden="false" outlineLevel="0" max="17" min="17" style="1" width="12"/>
    <col collapsed="false" customWidth="true" hidden="false" outlineLevel="0" max="18" min="18" style="1" width="16"/>
    <col collapsed="false" customWidth="true" hidden="false" outlineLevel="0" max="19" min="19" style="1" width="12"/>
  </cols>
  <sheetData>
    <row r="1" customFormat="false" ht="51.75" hidden="false" customHeight="true" outlineLevel="0" collapsed="false">
      <c r="A1" s="4" t="s">
        <v>113</v>
      </c>
      <c r="B1" s="4" t="s">
        <v>114</v>
      </c>
      <c r="C1" s="4" t="s">
        <v>115</v>
      </c>
      <c r="D1" s="4" t="s">
        <v>116</v>
      </c>
      <c r="E1" s="4" t="s">
        <v>117</v>
      </c>
      <c r="F1" s="4" t="s">
        <v>118</v>
      </c>
      <c r="G1" s="4" t="s">
        <v>119</v>
      </c>
      <c r="H1" s="4" t="s">
        <v>120</v>
      </c>
      <c r="I1" s="4" t="s">
        <v>121</v>
      </c>
      <c r="J1" s="4" t="s">
        <v>122</v>
      </c>
      <c r="K1" s="4" t="s">
        <v>123</v>
      </c>
      <c r="L1" s="4" t="s">
        <v>124</v>
      </c>
      <c r="M1" s="4" t="s">
        <v>125</v>
      </c>
      <c r="N1" s="4" t="s">
        <v>126</v>
      </c>
      <c r="O1" s="4" t="s">
        <v>127</v>
      </c>
      <c r="P1" s="4" t="s">
        <v>128</v>
      </c>
      <c r="Q1" s="4" t="s">
        <v>129</v>
      </c>
      <c r="R1" s="4" t="s">
        <v>130</v>
      </c>
      <c r="S1" s="4" t="s">
        <v>131</v>
      </c>
    </row>
    <row r="2" customFormat="false" ht="15" hidden="false" customHeight="true" outlineLevel="0" collapsed="false">
      <c r="A2" s="3" t="s">
        <v>132</v>
      </c>
      <c r="B2" s="3" t="s">
        <v>10</v>
      </c>
      <c r="C2" s="3" t="s">
        <v>133</v>
      </c>
      <c r="D2" s="5" t="n">
        <v>3.6</v>
      </c>
      <c r="E2" s="6" t="n">
        <v>1553</v>
      </c>
      <c r="F2" s="7" t="n">
        <v>7554</v>
      </c>
      <c r="G2" s="8" t="n">
        <v>65910</v>
      </c>
      <c r="H2" s="8" t="n">
        <v>65910</v>
      </c>
      <c r="I2" s="8" t="n">
        <v>124080</v>
      </c>
      <c r="J2" s="5" t="n">
        <v>92.4</v>
      </c>
      <c r="K2" s="8" t="n">
        <v>12000</v>
      </c>
      <c r="L2" s="6" t="n">
        <v>22</v>
      </c>
      <c r="M2" s="3" t="s">
        <v>134</v>
      </c>
      <c r="N2" s="3" t="str">
        <f aca="false">INDEX('State Mapping'!$B$2:$B$53,MATCH(B2,'State Mapping'!$A$2:$A$53,0))</f>
        <v>California</v>
      </c>
      <c r="O2" s="8" t="n">
        <f aca="false">IFERROR(INDEX('State Premium Data'!$D$2:$D$53,MATCH(N2,'State Premium Data'!$A$2:$A$53,0)),"")</f>
        <v>37475</v>
      </c>
      <c r="P2" s="8" t="n">
        <f aca="false">IFERROR(INDEX('State Premium Data'!$C$2:$C$53,MATCH(N2,'State Premium Data'!$A$2:$A$53,0)),"")</f>
        <v>78278</v>
      </c>
      <c r="Q2" s="9" t="n">
        <f aca="false">IFERROR(K2/O2,"")</f>
        <v>0.320213475650434</v>
      </c>
      <c r="R2" s="8" t="n">
        <f aca="false">IFERROR(I2-P2,"")</f>
        <v>45802</v>
      </c>
      <c r="S2" s="10" t="n">
        <f aca="false">IFERROR(R2/P2,"")</f>
        <v>0.585119701576433</v>
      </c>
    </row>
    <row r="3" customFormat="false" ht="15" hidden="false" customHeight="true" outlineLevel="0" collapsed="false">
      <c r="A3" s="3" t="s">
        <v>135</v>
      </c>
      <c r="B3" s="3" t="s">
        <v>40</v>
      </c>
      <c r="C3" s="3" t="s">
        <v>136</v>
      </c>
      <c r="D3" s="5" t="n">
        <v>3.6</v>
      </c>
      <c r="E3" s="6" t="n">
        <v>1553</v>
      </c>
      <c r="F3" s="7" t="n">
        <v>7601</v>
      </c>
      <c r="G3" s="8" t="n">
        <v>61676</v>
      </c>
      <c r="H3" s="8" t="n">
        <v>61676</v>
      </c>
      <c r="I3" s="8" t="n">
        <v>101817</v>
      </c>
      <c r="J3" s="5" t="n">
        <v>97.5</v>
      </c>
      <c r="K3" s="8" t="n">
        <v>14000</v>
      </c>
      <c r="L3" s="6" t="n">
        <v>29</v>
      </c>
      <c r="M3" s="3" t="s">
        <v>134</v>
      </c>
      <c r="N3" s="3" t="str">
        <f aca="false">INDEX('State Mapping'!$B$2:$B$53,MATCH(B3,'State Mapping'!$A$2:$A$53,0))</f>
        <v>Massachusetts</v>
      </c>
      <c r="O3" s="8" t="n">
        <f aca="false">IFERROR(INDEX('State Premium Data'!$D$2:$D$53,MATCH(N3,'State Premium Data'!$A$2:$A$53,0)),"")</f>
        <v>36224</v>
      </c>
      <c r="P3" s="8" t="n">
        <f aca="false">IFERROR(INDEX('State Premium Data'!$C$2:$C$53,MATCH(N3,'State Premium Data'!$A$2:$A$53,0)),"")</f>
        <v>79985</v>
      </c>
      <c r="Q3" s="9" t="n">
        <f aca="false">IFERROR(K3/O3,"")</f>
        <v>0.386484098939929</v>
      </c>
      <c r="R3" s="8" t="n">
        <f aca="false">IFERROR(I3-P3,"")</f>
        <v>21832</v>
      </c>
      <c r="S3" s="10" t="n">
        <f aca="false">IFERROR(R3/P3,"")</f>
        <v>0.27295117834594</v>
      </c>
    </row>
    <row r="4" customFormat="false" ht="15" hidden="false" customHeight="true" outlineLevel="0" collapsed="false">
      <c r="A4" s="3" t="s">
        <v>137</v>
      </c>
      <c r="B4" s="3" t="s">
        <v>14</v>
      </c>
      <c r="C4" s="3" t="s">
        <v>138</v>
      </c>
      <c r="D4" s="5" t="n">
        <v>3.9</v>
      </c>
      <c r="E4" s="6" t="n">
        <v>1534</v>
      </c>
      <c r="F4" s="7" t="n">
        <v>6758</v>
      </c>
      <c r="G4" s="8" t="n">
        <v>67250</v>
      </c>
      <c r="H4" s="8" t="n">
        <v>67250</v>
      </c>
      <c r="I4" s="8" t="n">
        <v>100533</v>
      </c>
      <c r="J4" s="5" t="n">
        <v>96</v>
      </c>
      <c r="K4" s="8" t="n">
        <v>12975</v>
      </c>
      <c r="L4" s="6" t="n">
        <v>9</v>
      </c>
      <c r="M4" s="3" t="s">
        <v>134</v>
      </c>
      <c r="N4" s="3" t="str">
        <f aca="false">INDEX('State Mapping'!$B$2:$B$53,MATCH(B4,'State Mapping'!$A$2:$A$53,0))</f>
        <v>Connecticut</v>
      </c>
      <c r="O4" s="8" t="n">
        <f aca="false">IFERROR(INDEX('State Premium Data'!$D$2:$D$53,MATCH(N4,'State Premium Data'!$A$2:$A$53,0)),"")</f>
        <v>33855</v>
      </c>
      <c r="P4" s="8" t="n">
        <f aca="false">IFERROR(INDEX('State Premium Data'!$C$2:$C$53,MATCH(N4,'State Premium Data'!$A$2:$A$53,0)),"")</f>
        <v>75975</v>
      </c>
      <c r="Q4" s="9" t="n">
        <f aca="false">IFERROR(K4/O4,"")</f>
        <v>0.38325210456358</v>
      </c>
      <c r="R4" s="8" t="n">
        <f aca="false">IFERROR(I4-P4,"")</f>
        <v>24558</v>
      </c>
      <c r="S4" s="10" t="n">
        <f aca="false">IFERROR(R4/P4,"")</f>
        <v>0.323237907206318</v>
      </c>
    </row>
    <row r="5" customFormat="false" ht="15" hidden="false" customHeight="true" outlineLevel="0" collapsed="false">
      <c r="A5" s="3" t="s">
        <v>139</v>
      </c>
      <c r="B5" s="3" t="s">
        <v>70</v>
      </c>
      <c r="C5" s="3" t="s">
        <v>71</v>
      </c>
      <c r="D5" s="5" t="n">
        <v>4</v>
      </c>
      <c r="E5" s="6" t="n">
        <v>1553</v>
      </c>
      <c r="F5" s="7" t="n">
        <v>8973</v>
      </c>
      <c r="G5" s="8" t="n">
        <v>71845</v>
      </c>
      <c r="H5" s="8" t="n">
        <v>71845</v>
      </c>
      <c r="I5" s="8" t="n">
        <v>102491</v>
      </c>
      <c r="J5" s="5" t="n">
        <v>95.5</v>
      </c>
      <c r="K5" s="8" t="n">
        <v>21500</v>
      </c>
      <c r="L5" s="6" t="n">
        <v>18</v>
      </c>
      <c r="M5" s="3" t="s">
        <v>134</v>
      </c>
      <c r="N5" s="3" t="str">
        <f aca="false">INDEX('State Mapping'!$B$2:$B$53,MATCH(B5,'State Mapping'!$A$2:$A$53,0))</f>
        <v>New York</v>
      </c>
      <c r="O5" s="8" t="n">
        <f aca="false">IFERROR(INDEX('State Premium Data'!$D$2:$D$53,MATCH(N5,'State Premium Data'!$A$2:$A$53,0)),"")</f>
        <v>34733</v>
      </c>
      <c r="P5" s="8" t="n">
        <f aca="false">IFERROR(INDEX('State Premium Data'!$C$2:$C$53,MATCH(N5,'State Premium Data'!$A$2:$A$53,0)),"")</f>
        <v>74504</v>
      </c>
      <c r="Q5" s="9" t="n">
        <f aca="false">IFERROR(K5/O5,"")</f>
        <v>0.619007859960268</v>
      </c>
      <c r="R5" s="8" t="n">
        <f aca="false">IFERROR(I5-P5,"")</f>
        <v>27987</v>
      </c>
      <c r="S5" s="10" t="n">
        <f aca="false">IFERROR(R5/P5,"")</f>
        <v>0.375644260710834</v>
      </c>
    </row>
    <row r="6" customFormat="false" ht="15" hidden="false" customHeight="true" outlineLevel="0" collapsed="false">
      <c r="A6" s="3" t="s">
        <v>140</v>
      </c>
      <c r="B6" s="3" t="s">
        <v>30</v>
      </c>
      <c r="C6" s="3" t="s">
        <v>141</v>
      </c>
      <c r="D6" s="5" t="n">
        <v>4.5</v>
      </c>
      <c r="E6" s="6" t="n">
        <v>1554</v>
      </c>
      <c r="F6" s="7" t="n">
        <v>7569</v>
      </c>
      <c r="G6" s="8" t="n">
        <v>70662</v>
      </c>
      <c r="H6" s="8" t="n">
        <v>70662</v>
      </c>
      <c r="I6" s="8" t="n">
        <v>91885</v>
      </c>
      <c r="J6" s="5" t="n">
        <v>95.4</v>
      </c>
      <c r="K6" s="8" t="n">
        <v>15000</v>
      </c>
      <c r="L6" s="6" t="n">
        <v>20</v>
      </c>
      <c r="M6" s="3" t="s">
        <v>134</v>
      </c>
      <c r="N6" s="3" t="str">
        <f aca="false">INDEX('State Mapping'!$B$2:$B$53,MATCH(B6,'State Mapping'!$A$2:$A$53,0))</f>
        <v>Illinois</v>
      </c>
      <c r="O6" s="8" t="n">
        <f aca="false">IFERROR(INDEX('State Premium Data'!$D$2:$D$53,MATCH(N6,'State Premium Data'!$A$2:$A$53,0)),"")</f>
        <v>30842</v>
      </c>
      <c r="P6" s="8" t="n">
        <f aca="false">IFERROR(INDEX('State Premium Data'!$C$2:$C$53,MATCH(N6,'State Premium Data'!$A$2:$A$53,0)),"")</f>
        <v>71127</v>
      </c>
      <c r="Q6" s="9" t="n">
        <f aca="false">IFERROR(K6/O6,"")</f>
        <v>0.486349782763764</v>
      </c>
      <c r="R6" s="8" t="n">
        <f aca="false">IFERROR(I6-P6,"")</f>
        <v>20758</v>
      </c>
      <c r="S6" s="10" t="n">
        <f aca="false">IFERROR(R6/P6,"")</f>
        <v>0.291844166069144</v>
      </c>
    </row>
    <row r="7" customFormat="false" ht="15" hidden="false" customHeight="true" outlineLevel="0" collapsed="false">
      <c r="A7" s="3" t="s">
        <v>142</v>
      </c>
      <c r="B7" s="3" t="s">
        <v>64</v>
      </c>
      <c r="C7" s="3" t="s">
        <v>143</v>
      </c>
      <c r="D7" s="5" t="n">
        <v>4.6</v>
      </c>
      <c r="E7" s="6" t="n">
        <v>1553</v>
      </c>
      <c r="F7" s="7" t="n">
        <v>5709</v>
      </c>
      <c r="G7" s="8" t="n">
        <v>62688</v>
      </c>
      <c r="H7" s="8" t="n">
        <v>62688</v>
      </c>
      <c r="I7" s="8" t="n">
        <v>110066</v>
      </c>
      <c r="J7" s="5" t="n">
        <v>97.4</v>
      </c>
      <c r="K7" s="8" t="n">
        <v>10320</v>
      </c>
      <c r="L7" s="6" t="n">
        <v>18</v>
      </c>
      <c r="M7" s="3" t="s">
        <v>134</v>
      </c>
      <c r="N7" s="3" t="str">
        <f aca="false">INDEX('State Mapping'!$B$2:$B$53,MATCH(B7,'State Mapping'!$A$2:$A$53,0))</f>
        <v>New Jersey</v>
      </c>
      <c r="O7" s="8" t="n">
        <f aca="false">IFERROR(INDEX('State Premium Data'!$D$2:$D$53,MATCH(N7,'State Premium Data'!$A$2:$A$53,0)),"")</f>
        <v>38586</v>
      </c>
      <c r="P7" s="8" t="n">
        <f aca="false">IFERROR(INDEX('State Premium Data'!$C$2:$C$53,MATCH(N7,'State Premium Data'!$A$2:$A$53,0)),"")</f>
        <v>80114</v>
      </c>
      <c r="Q7" s="9" t="n">
        <f aca="false">IFERROR(K7/O7,"")</f>
        <v>0.267454517182398</v>
      </c>
      <c r="R7" s="8" t="n">
        <f aca="false">IFERROR(I7-P7,"")</f>
        <v>29952</v>
      </c>
      <c r="S7" s="10" t="n">
        <f aca="false">IFERROR(R7/P7,"")</f>
        <v>0.373867239184163</v>
      </c>
    </row>
    <row r="8" customFormat="false" ht="15" hidden="false" customHeight="true" outlineLevel="0" collapsed="false">
      <c r="A8" s="3" t="s">
        <v>144</v>
      </c>
      <c r="B8" s="3" t="s">
        <v>40</v>
      </c>
      <c r="C8" s="3" t="s">
        <v>145</v>
      </c>
      <c r="D8" s="5" t="n">
        <v>5.2</v>
      </c>
      <c r="E8" s="6" t="n">
        <v>1497</v>
      </c>
      <c r="F8" s="7" t="n">
        <v>17326</v>
      </c>
      <c r="G8" s="8" t="n">
        <v>66162</v>
      </c>
      <c r="H8" s="8" t="n">
        <v>66162</v>
      </c>
      <c r="I8" s="8" t="n">
        <v>92538</v>
      </c>
      <c r="J8" s="5" t="n">
        <v>90.5</v>
      </c>
      <c r="K8" s="8" t="n">
        <v>24250</v>
      </c>
      <c r="L8" s="6" t="n">
        <v>0</v>
      </c>
      <c r="M8" s="3" t="s">
        <v>134</v>
      </c>
      <c r="N8" s="3" t="str">
        <f aca="false">INDEX('State Mapping'!$B$2:$B$53,MATCH(B8,'State Mapping'!$A$2:$A$53,0))</f>
        <v>Massachusetts</v>
      </c>
      <c r="O8" s="8" t="n">
        <f aca="false">IFERROR(INDEX('State Premium Data'!$D$2:$D$53,MATCH(N8,'State Premium Data'!$A$2:$A$53,0)),"")</f>
        <v>36224</v>
      </c>
      <c r="P8" s="8" t="n">
        <f aca="false">IFERROR(INDEX('State Premium Data'!$C$2:$C$53,MATCH(N8,'State Premium Data'!$A$2:$A$53,0)),"")</f>
        <v>79985</v>
      </c>
      <c r="Q8" s="9" t="n">
        <f aca="false">IFERROR(K8/O8,"")</f>
        <v>0.669445671378092</v>
      </c>
      <c r="R8" s="8" t="n">
        <f aca="false">IFERROR(I8-P8,"")</f>
        <v>12553</v>
      </c>
      <c r="S8" s="10" t="n">
        <f aca="false">IFERROR(R8/P8,"")</f>
        <v>0.15694192661124</v>
      </c>
    </row>
    <row r="9" customFormat="false" ht="15" hidden="false" customHeight="true" outlineLevel="0" collapsed="false">
      <c r="A9" s="3" t="s">
        <v>146</v>
      </c>
      <c r="B9" s="3" t="s">
        <v>82</v>
      </c>
      <c r="C9" s="3" t="s">
        <v>147</v>
      </c>
      <c r="D9" s="5" t="n">
        <v>5.4</v>
      </c>
      <c r="E9" s="6" t="n">
        <v>1546</v>
      </c>
      <c r="F9" s="7" t="n">
        <v>7226</v>
      </c>
      <c r="G9" s="8" t="n">
        <v>71412</v>
      </c>
      <c r="H9" s="8" t="n">
        <v>71412</v>
      </c>
      <c r="I9" s="8" t="n">
        <v>93487</v>
      </c>
      <c r="J9" s="5" t="n">
        <v>95.7</v>
      </c>
      <c r="K9" s="8" t="n">
        <v>11428</v>
      </c>
      <c r="L9" s="6" t="n">
        <v>3</v>
      </c>
      <c r="M9" s="3" t="s">
        <v>134</v>
      </c>
      <c r="N9" s="3" t="str">
        <f aca="false">INDEX('State Mapping'!$B$2:$B$53,MATCH(B9,'State Mapping'!$A$2:$A$53,0))</f>
        <v>Rhode Island</v>
      </c>
      <c r="O9" s="8" t="n">
        <f aca="false">IFERROR(INDEX('State Premium Data'!$D$2:$D$53,MATCH(N9,'State Premium Data'!$A$2:$A$53,0)),"")</f>
        <v>24927</v>
      </c>
      <c r="P9" s="8" t="n">
        <f aca="false">IFERROR(INDEX('State Premium Data'!$C$2:$C$53,MATCH(N9,'State Premium Data'!$A$2:$A$53,0)),"")</f>
        <v>68084</v>
      </c>
      <c r="Q9" s="9" t="n">
        <f aca="false">IFERROR(K9/O9,"")</f>
        <v>0.458458699402255</v>
      </c>
      <c r="R9" s="8" t="n">
        <f aca="false">IFERROR(I9-P9,"")</f>
        <v>25403</v>
      </c>
      <c r="S9" s="10" t="n">
        <f aca="false">IFERROR(R9/P9,"")</f>
        <v>0.373112625580166</v>
      </c>
    </row>
    <row r="10" customFormat="false" ht="15" hidden="false" customHeight="true" outlineLevel="0" collapsed="false">
      <c r="A10" s="3" t="s">
        <v>148</v>
      </c>
      <c r="B10" s="3" t="s">
        <v>78</v>
      </c>
      <c r="C10" s="3" t="s">
        <v>149</v>
      </c>
      <c r="D10" s="5" t="n">
        <v>5.4</v>
      </c>
      <c r="E10" s="6" t="n">
        <v>1553</v>
      </c>
      <c r="F10" s="7" t="n">
        <v>10650</v>
      </c>
      <c r="G10" s="8" t="n">
        <v>68686</v>
      </c>
      <c r="H10" s="8" t="n">
        <v>68686</v>
      </c>
      <c r="I10" s="8" t="n">
        <v>111371</v>
      </c>
      <c r="J10" s="5" t="n">
        <v>96.7</v>
      </c>
      <c r="K10" s="8" t="n">
        <v>15715</v>
      </c>
      <c r="L10" s="6" t="n">
        <v>5</v>
      </c>
      <c r="M10" s="3" t="s">
        <v>150</v>
      </c>
      <c r="N10" s="3" t="str">
        <f aca="false">INDEX('State Mapping'!$B$2:$B$53,MATCH(B10,'State Mapping'!$A$2:$A$53,0))</f>
        <v>Pennsylvania</v>
      </c>
      <c r="O10" s="8" t="n">
        <f aca="false">IFERROR(INDEX('State Premium Data'!$D$2:$D$53,MATCH(N10,'State Premium Data'!$A$2:$A$53,0)),"")</f>
        <v>25342</v>
      </c>
      <c r="P10" s="8" t="n">
        <f aca="false">IFERROR(INDEX('State Premium Data'!$C$2:$C$53,MATCH(N10,'State Premium Data'!$A$2:$A$53,0)),"")</f>
        <v>65678</v>
      </c>
      <c r="Q10" s="9" t="n">
        <f aca="false">IFERROR(K10/O10,"")</f>
        <v>0.620116802146634</v>
      </c>
      <c r="R10" s="8" t="n">
        <f aca="false">IFERROR(I10-P10,"")</f>
        <v>45693</v>
      </c>
      <c r="S10" s="10" t="n">
        <f aca="false">IFERROR(R10/P10,"")</f>
        <v>0.695712415116173</v>
      </c>
    </row>
    <row r="11" customFormat="false" ht="15" hidden="false" customHeight="true" outlineLevel="0" collapsed="false">
      <c r="A11" s="3" t="s">
        <v>151</v>
      </c>
      <c r="B11" s="3" t="s">
        <v>56</v>
      </c>
      <c r="C11" s="3" t="s">
        <v>152</v>
      </c>
      <c r="D11" s="5" t="n">
        <v>5.7</v>
      </c>
      <c r="E11" s="6" t="n">
        <v>1548</v>
      </c>
      <c r="F11" s="7" t="n">
        <v>6442</v>
      </c>
      <c r="G11" s="8" t="n">
        <v>68758</v>
      </c>
      <c r="H11" s="8" t="n">
        <v>68758</v>
      </c>
      <c r="I11" s="8" t="n">
        <v>97800</v>
      </c>
      <c r="J11" s="5" t="n">
        <v>96.3</v>
      </c>
      <c r="K11" s="8" t="n">
        <v>13000</v>
      </c>
      <c r="L11" s="6" t="n">
        <v>0</v>
      </c>
      <c r="M11" s="3" t="s">
        <v>150</v>
      </c>
      <c r="N11" s="3" t="str">
        <f aca="false">INDEX('State Mapping'!$B$2:$B$53,MATCH(B11,'State Mapping'!$A$2:$A$53,0))</f>
        <v>North Carolina</v>
      </c>
      <c r="O11" s="8" t="n">
        <f aca="false">IFERROR(INDEX('State Premium Data'!$D$2:$D$53,MATCH(N11,'State Premium Data'!$A$2:$A$53,0)),"")</f>
        <v>25615</v>
      </c>
      <c r="P11" s="8" t="n">
        <f aca="false">IFERROR(INDEX('State Premium Data'!$C$2:$C$53,MATCH(N11,'State Premium Data'!$A$2:$A$53,0)),"")</f>
        <v>62338</v>
      </c>
      <c r="Q11" s="9" t="n">
        <f aca="false">IFERROR(K11/O11,"")</f>
        <v>0.507515127854773</v>
      </c>
      <c r="R11" s="8" t="n">
        <f aca="false">IFERROR(I11-P11,"")</f>
        <v>35462</v>
      </c>
      <c r="S11" s="10" t="n">
        <f aca="false">IFERROR(R11/P11,"")</f>
        <v>0.568866501973114</v>
      </c>
    </row>
    <row r="12" customFormat="false" ht="15" hidden="false" customHeight="true" outlineLevel="0" collapsed="false">
      <c r="A12" s="3" t="s">
        <v>153</v>
      </c>
      <c r="B12" s="3" t="s">
        <v>88</v>
      </c>
      <c r="C12" s="3" t="s">
        <v>154</v>
      </c>
      <c r="D12" s="5" t="n">
        <v>5.9</v>
      </c>
      <c r="E12" s="6" t="n">
        <v>1549</v>
      </c>
      <c r="F12" s="7" t="n">
        <v>7208</v>
      </c>
      <c r="G12" s="8" t="n">
        <v>67498</v>
      </c>
      <c r="H12" s="8" t="n">
        <v>67498</v>
      </c>
      <c r="I12" s="8" t="n">
        <v>91565</v>
      </c>
      <c r="J12" s="5" t="n">
        <v>93.1</v>
      </c>
      <c r="K12" s="8" t="n">
        <v>14000</v>
      </c>
      <c r="L12" s="6" t="n">
        <v>1</v>
      </c>
      <c r="M12" s="3" t="s">
        <v>150</v>
      </c>
      <c r="N12" s="3" t="str">
        <f aca="false">INDEX('State Mapping'!$B$2:$B$53,MATCH(B12,'State Mapping'!$A$2:$A$53,0))</f>
        <v>Tennessee</v>
      </c>
      <c r="O12" s="8" t="n">
        <f aca="false">IFERROR(INDEX('State Premium Data'!$D$2:$D$53,MATCH(N12,'State Premium Data'!$A$2:$A$53,0)),"")</f>
        <v>23496</v>
      </c>
      <c r="P12" s="8" t="n">
        <f aca="false">IFERROR(INDEX('State Premium Data'!$C$2:$C$53,MATCH(N12,'State Premium Data'!$A$2:$A$53,0)),"")</f>
        <v>61189</v>
      </c>
      <c r="Q12" s="9" t="n">
        <f aca="false">IFERROR(K12/O12,"")</f>
        <v>0.595846101464079</v>
      </c>
      <c r="R12" s="8" t="n">
        <f aca="false">IFERROR(I12-P12,"")</f>
        <v>30376</v>
      </c>
      <c r="S12" s="10" t="n">
        <f aca="false">IFERROR(R12/P12,"")</f>
        <v>0.496429096733073</v>
      </c>
    </row>
    <row r="13" customFormat="false" ht="15" hidden="false" customHeight="true" outlineLevel="0" collapsed="false">
      <c r="A13" s="3" t="s">
        <v>155</v>
      </c>
      <c r="B13" s="3" t="s">
        <v>42</v>
      </c>
      <c r="C13" s="3" t="s">
        <v>156</v>
      </c>
      <c r="D13" s="5" t="n">
        <v>6.4</v>
      </c>
      <c r="E13" s="6" t="n">
        <v>1553</v>
      </c>
      <c r="F13" s="7" t="n">
        <v>5693</v>
      </c>
      <c r="G13" s="8" t="n">
        <v>65230</v>
      </c>
      <c r="H13" s="8" t="n">
        <v>65230</v>
      </c>
      <c r="I13" s="8" t="n">
        <v>87555</v>
      </c>
      <c r="J13" s="5" t="n">
        <v>94.2</v>
      </c>
      <c r="K13" s="8" t="n">
        <v>10250</v>
      </c>
      <c r="L13" s="6" t="n">
        <v>2</v>
      </c>
      <c r="M13" s="3" t="s">
        <v>134</v>
      </c>
      <c r="N13" s="3" t="str">
        <f aca="false">INDEX('State Mapping'!$B$2:$B$53,MATCH(B13,'State Mapping'!$A$2:$A$53,0))</f>
        <v>Maryland</v>
      </c>
      <c r="O13" s="8" t="n">
        <f aca="false">IFERROR(INDEX('State Premium Data'!$D$2:$D$53,MATCH(N13,'State Premium Data'!$A$2:$A$53,0)),"")</f>
        <v>33970</v>
      </c>
      <c r="P13" s="8" t="n">
        <f aca="false">IFERROR(INDEX('State Premium Data'!$C$2:$C$53,MATCH(N13,'State Premium Data'!$A$2:$A$53,0)),"")</f>
        <v>76748</v>
      </c>
      <c r="Q13" s="9" t="n">
        <f aca="false">IFERROR(K13/O13,"")</f>
        <v>0.301736826611716</v>
      </c>
      <c r="R13" s="8" t="n">
        <f aca="false">IFERROR(I13-P13,"")</f>
        <v>10807</v>
      </c>
      <c r="S13" s="10" t="n">
        <f aca="false">IFERROR(R13/P13,"")</f>
        <v>0.140811486944285</v>
      </c>
    </row>
    <row r="14" customFormat="false" ht="15" hidden="false" customHeight="true" outlineLevel="0" collapsed="false">
      <c r="A14" s="3" t="s">
        <v>157</v>
      </c>
      <c r="B14" s="3" t="s">
        <v>30</v>
      </c>
      <c r="C14" s="3" t="s">
        <v>158</v>
      </c>
      <c r="D14" s="5" t="n">
        <v>7.7</v>
      </c>
      <c r="E14" s="6" t="n">
        <v>1533</v>
      </c>
      <c r="F14" s="7" t="n">
        <v>9201</v>
      </c>
      <c r="G14" s="8" t="n">
        <v>68322</v>
      </c>
      <c r="H14" s="8" t="n">
        <v>68322</v>
      </c>
      <c r="I14" s="8" t="n">
        <v>89363</v>
      </c>
      <c r="J14" s="5" t="n">
        <v>95.5</v>
      </c>
      <c r="K14" s="8" t="n">
        <v>15000</v>
      </c>
      <c r="L14" s="6" t="n">
        <v>4</v>
      </c>
      <c r="M14" s="3" t="s">
        <v>134</v>
      </c>
      <c r="N14" s="3" t="str">
        <f aca="false">INDEX('State Mapping'!$B$2:$B$53,MATCH(B14,'State Mapping'!$A$2:$A$53,0))</f>
        <v>Illinois</v>
      </c>
      <c r="O14" s="8" t="n">
        <f aca="false">IFERROR(INDEX('State Premium Data'!$D$2:$D$53,MATCH(N14,'State Premium Data'!$A$2:$A$53,0)),"")</f>
        <v>30842</v>
      </c>
      <c r="P14" s="8" t="n">
        <f aca="false">IFERROR(INDEX('State Premium Data'!$C$2:$C$53,MATCH(N14,'State Premium Data'!$A$2:$A$53,0)),"")</f>
        <v>71127</v>
      </c>
      <c r="Q14" s="9" t="n">
        <f aca="false">IFERROR(K14/O14,"")</f>
        <v>0.486349782763764</v>
      </c>
      <c r="R14" s="8" t="n">
        <f aca="false">IFERROR(I14-P14,"")</f>
        <v>18236</v>
      </c>
      <c r="S14" s="10" t="n">
        <f aca="false">IFERROR(R14/P14,"")</f>
        <v>0.256386463649528</v>
      </c>
    </row>
    <row r="15" customFormat="false" ht="15" hidden="false" customHeight="true" outlineLevel="0" collapsed="false">
      <c r="A15" s="3" t="s">
        <v>159</v>
      </c>
      <c r="B15" s="3" t="s">
        <v>70</v>
      </c>
      <c r="C15" s="3" t="s">
        <v>160</v>
      </c>
      <c r="D15" s="5" t="n">
        <v>8.8</v>
      </c>
      <c r="E15" s="6" t="n">
        <v>1535</v>
      </c>
      <c r="F15" s="7" t="n">
        <v>15995</v>
      </c>
      <c r="G15" s="8" t="n">
        <v>69314</v>
      </c>
      <c r="H15" s="8" t="n">
        <v>69314</v>
      </c>
      <c r="I15" s="8" t="n">
        <v>104043</v>
      </c>
      <c r="J15" s="5" t="n">
        <v>95.3</v>
      </c>
      <c r="K15" s="8" t="n">
        <v>14000</v>
      </c>
      <c r="L15" s="6" t="n">
        <v>8</v>
      </c>
      <c r="M15" s="3" t="s">
        <v>134</v>
      </c>
      <c r="N15" s="3" t="str">
        <f aca="false">INDEX('State Mapping'!$B$2:$B$53,MATCH(B15,'State Mapping'!$A$2:$A$53,0))</f>
        <v>New York</v>
      </c>
      <c r="O15" s="8" t="n">
        <f aca="false">IFERROR(INDEX('State Premium Data'!$D$2:$D$53,MATCH(N15,'State Premium Data'!$A$2:$A$53,0)),"")</f>
        <v>34733</v>
      </c>
      <c r="P15" s="8" t="n">
        <f aca="false">IFERROR(INDEX('State Premium Data'!$C$2:$C$53,MATCH(N15,'State Premium Data'!$A$2:$A$53,0)),"")</f>
        <v>74504</v>
      </c>
      <c r="Q15" s="9" t="n">
        <f aca="false">IFERROR(K15/O15,"")</f>
        <v>0.403074885555524</v>
      </c>
      <c r="R15" s="8" t="n">
        <f aca="false">IFERROR(I15-P15,"")</f>
        <v>29539</v>
      </c>
      <c r="S15" s="10" t="n">
        <f aca="false">IFERROR(R15/P15,"")</f>
        <v>0.396475357027811</v>
      </c>
    </row>
    <row r="16" customFormat="false" ht="15" hidden="false" customHeight="true" outlineLevel="0" collapsed="false">
      <c r="A16" s="3" t="s">
        <v>161</v>
      </c>
      <c r="B16" s="3" t="s">
        <v>10</v>
      </c>
      <c r="C16" s="3" t="s">
        <v>162</v>
      </c>
      <c r="D16" s="5" t="n">
        <v>9</v>
      </c>
      <c r="E16" s="6"/>
      <c r="F16" s="7" t="n">
        <v>33475</v>
      </c>
      <c r="G16" s="8" t="n">
        <v>15203</v>
      </c>
      <c r="H16" s="8" t="n">
        <v>49403</v>
      </c>
      <c r="I16" s="8" t="n">
        <v>82511</v>
      </c>
      <c r="J16" s="5" t="n">
        <v>92.6</v>
      </c>
      <c r="K16" s="8" t="n">
        <v>14000</v>
      </c>
      <c r="L16" s="6" t="n">
        <v>43</v>
      </c>
      <c r="M16" s="3" t="s">
        <v>150</v>
      </c>
      <c r="N16" s="3" t="str">
        <f aca="false">INDEX('State Mapping'!$B$2:$B$53,MATCH(B16,'State Mapping'!$A$2:$A$53,0))</f>
        <v>California</v>
      </c>
      <c r="O16" s="8" t="n">
        <f aca="false">IFERROR(INDEX('State Premium Data'!$D$2:$D$53,MATCH(N16,'State Premium Data'!$A$2:$A$53,0)),"")</f>
        <v>37475</v>
      </c>
      <c r="P16" s="8" t="n">
        <f aca="false">IFERROR(INDEX('State Premium Data'!$C$2:$C$53,MATCH(N16,'State Premium Data'!$A$2:$A$53,0)),"")</f>
        <v>78278</v>
      </c>
      <c r="Q16" s="9" t="n">
        <f aca="false">IFERROR(K16/O16,"")</f>
        <v>0.373582388258839</v>
      </c>
      <c r="R16" s="8" t="n">
        <f aca="false">IFERROR(I16-P16,"")</f>
        <v>4233</v>
      </c>
      <c r="S16" s="10" t="n">
        <f aca="false">IFERROR(R16/P16,"")</f>
        <v>0.0540764965890799</v>
      </c>
    </row>
    <row r="17" customFormat="false" ht="15" hidden="false" customHeight="true" outlineLevel="0" collapsed="false">
      <c r="A17" s="3" t="s">
        <v>163</v>
      </c>
      <c r="B17" s="3" t="s">
        <v>70</v>
      </c>
      <c r="C17" s="3" t="s">
        <v>71</v>
      </c>
      <c r="D17" s="5" t="n">
        <v>9.2</v>
      </c>
      <c r="E17" s="6" t="n">
        <v>1520</v>
      </c>
      <c r="F17" s="7" t="n">
        <v>28663</v>
      </c>
      <c r="G17" s="8" t="n">
        <v>62796</v>
      </c>
      <c r="H17" s="8" t="n">
        <v>62796</v>
      </c>
      <c r="I17" s="8" t="n">
        <v>82509</v>
      </c>
      <c r="J17" s="5" t="n">
        <v>88</v>
      </c>
      <c r="K17" s="8" t="n">
        <v>20500</v>
      </c>
      <c r="L17" s="6" t="n">
        <v>2</v>
      </c>
      <c r="M17" s="3" t="s">
        <v>134</v>
      </c>
      <c r="N17" s="3" t="str">
        <f aca="false">INDEX('State Mapping'!$B$2:$B$53,MATCH(B17,'State Mapping'!$A$2:$A$53,0))</f>
        <v>New York</v>
      </c>
      <c r="O17" s="8" t="n">
        <f aca="false">IFERROR(INDEX('State Premium Data'!$D$2:$D$53,MATCH(N17,'State Premium Data'!$A$2:$A$53,0)),"")</f>
        <v>34733</v>
      </c>
      <c r="P17" s="8" t="n">
        <f aca="false">IFERROR(INDEX('State Premium Data'!$C$2:$C$53,MATCH(N17,'State Premium Data'!$A$2:$A$53,0)),"")</f>
        <v>74504</v>
      </c>
      <c r="Q17" s="9" t="n">
        <f aca="false">IFERROR(K17/O17,"")</f>
        <v>0.590216796706302</v>
      </c>
      <c r="R17" s="8" t="n">
        <f aca="false">IFERROR(I17-P17,"")</f>
        <v>8005</v>
      </c>
      <c r="S17" s="10" t="n">
        <f aca="false">IFERROR(R17/P17,"")</f>
        <v>0.107443895629765</v>
      </c>
    </row>
    <row r="18" customFormat="false" ht="15" hidden="false" customHeight="true" outlineLevel="0" collapsed="false">
      <c r="A18" s="3" t="s">
        <v>164</v>
      </c>
      <c r="B18" s="3" t="s">
        <v>10</v>
      </c>
      <c r="C18" s="3" t="s">
        <v>162</v>
      </c>
      <c r="D18" s="5" t="n">
        <v>9.8</v>
      </c>
      <c r="E18" s="6" t="n">
        <v>1495</v>
      </c>
      <c r="F18" s="7" t="n">
        <v>20443</v>
      </c>
      <c r="G18" s="8" t="n">
        <v>72097</v>
      </c>
      <c r="H18" s="8" t="n">
        <v>72097</v>
      </c>
      <c r="I18" s="8" t="n">
        <v>92498</v>
      </c>
      <c r="J18" s="5" t="n">
        <v>91.9</v>
      </c>
      <c r="K18" s="8" t="n">
        <v>18000</v>
      </c>
      <c r="L18" s="6" t="n">
        <v>2</v>
      </c>
      <c r="M18" s="3" t="s">
        <v>134</v>
      </c>
      <c r="N18" s="3" t="str">
        <f aca="false">INDEX('State Mapping'!$B$2:$B$53,MATCH(B18,'State Mapping'!$A$2:$A$53,0))</f>
        <v>California</v>
      </c>
      <c r="O18" s="8" t="n">
        <f aca="false">IFERROR(INDEX('State Premium Data'!$D$2:$D$53,MATCH(N18,'State Premium Data'!$A$2:$A$53,0)),"")</f>
        <v>37475</v>
      </c>
      <c r="P18" s="8" t="n">
        <f aca="false">IFERROR(INDEX('State Premium Data'!$C$2:$C$53,MATCH(N18,'State Premium Data'!$A$2:$A$53,0)),"")</f>
        <v>78278</v>
      </c>
      <c r="Q18" s="9" t="n">
        <f aca="false">IFERROR(K18/O18,"")</f>
        <v>0.48032021347565</v>
      </c>
      <c r="R18" s="8" t="n">
        <f aca="false">IFERROR(I18-P18,"")</f>
        <v>14220</v>
      </c>
      <c r="S18" s="10" t="n">
        <f aca="false">IFERROR(R18/P18,"")</f>
        <v>0.181660236592657</v>
      </c>
    </row>
    <row r="19" customFormat="false" ht="15" hidden="false" customHeight="true" outlineLevel="0" collapsed="false">
      <c r="A19" s="3" t="s">
        <v>165</v>
      </c>
      <c r="B19" s="3" t="s">
        <v>22</v>
      </c>
      <c r="C19" s="3" t="s">
        <v>166</v>
      </c>
      <c r="D19" s="5" t="n">
        <v>10.7</v>
      </c>
      <c r="E19" s="6" t="n">
        <v>1520</v>
      </c>
      <c r="F19" s="7" t="n">
        <v>7298</v>
      </c>
      <c r="G19" s="8" t="n">
        <v>64280</v>
      </c>
      <c r="H19" s="8" t="n">
        <v>64280</v>
      </c>
      <c r="I19" s="8" t="n">
        <v>80137</v>
      </c>
      <c r="J19" s="5" t="n">
        <v>91.4</v>
      </c>
      <c r="K19" s="8" t="n">
        <v>18250</v>
      </c>
      <c r="L19" s="6" t="n">
        <v>0</v>
      </c>
      <c r="M19" s="3" t="s">
        <v>134</v>
      </c>
      <c r="N19" s="3" t="str">
        <f aca="false">INDEX('State Mapping'!$B$2:$B$53,MATCH(B19,'State Mapping'!$A$2:$A$53,0))</f>
        <v>Georgia</v>
      </c>
      <c r="O19" s="8" t="n">
        <f aca="false">IFERROR(INDEX('State Premium Data'!$D$2:$D$53,MATCH(N19,'State Premium Data'!$A$2:$A$53,0)),"")</f>
        <v>27365</v>
      </c>
      <c r="P19" s="8" t="n">
        <f aca="false">IFERROR(INDEX('State Premium Data'!$C$2:$C$53,MATCH(N19,'State Premium Data'!$A$2:$A$53,0)),"")</f>
        <v>64185</v>
      </c>
      <c r="Q19" s="9" t="n">
        <f aca="false">IFERROR(K19/O19,"")</f>
        <v>0.666910286862781</v>
      </c>
      <c r="R19" s="8" t="n">
        <f aca="false">IFERROR(I19-P19,"")</f>
        <v>15952</v>
      </c>
      <c r="S19" s="10" t="n">
        <f aca="false">IFERROR(R19/P19,"")</f>
        <v>0.248531588377347</v>
      </c>
    </row>
    <row r="20" customFormat="false" ht="15" hidden="false" customHeight="true" outlineLevel="0" collapsed="false">
      <c r="A20" s="3" t="s">
        <v>167</v>
      </c>
      <c r="B20" s="3" t="s">
        <v>10</v>
      </c>
      <c r="C20" s="3" t="s">
        <v>168</v>
      </c>
      <c r="D20" s="5" t="n">
        <v>11</v>
      </c>
      <c r="E20" s="6"/>
      <c r="F20" s="7" t="n">
        <v>33068</v>
      </c>
      <c r="G20" s="8" t="n">
        <v>16347</v>
      </c>
      <c r="H20" s="8" t="n">
        <v>50547</v>
      </c>
      <c r="I20" s="8" t="n">
        <v>92446</v>
      </c>
      <c r="J20" s="5" t="n">
        <v>92.9</v>
      </c>
      <c r="K20" s="8" t="n">
        <v>13000</v>
      </c>
      <c r="L20" s="6" t="n">
        <v>43</v>
      </c>
      <c r="M20" s="3" t="s">
        <v>150</v>
      </c>
      <c r="N20" s="3" t="str">
        <f aca="false">INDEX('State Mapping'!$B$2:$B$53,MATCH(B20,'State Mapping'!$A$2:$A$53,0))</f>
        <v>California</v>
      </c>
      <c r="O20" s="8" t="n">
        <f aca="false">IFERROR(INDEX('State Premium Data'!$D$2:$D$53,MATCH(N20,'State Premium Data'!$A$2:$A$53,0)),"")</f>
        <v>37475</v>
      </c>
      <c r="P20" s="8" t="n">
        <f aca="false">IFERROR(INDEX('State Premium Data'!$C$2:$C$53,MATCH(N20,'State Premium Data'!$A$2:$A$53,0)),"")</f>
        <v>78278</v>
      </c>
      <c r="Q20" s="9" t="n">
        <f aca="false">IFERROR(K20/O20,"")</f>
        <v>0.346897931954636</v>
      </c>
      <c r="R20" s="8" t="n">
        <f aca="false">IFERROR(I20-P20,"")</f>
        <v>14168</v>
      </c>
      <c r="S20" s="10" t="n">
        <f aca="false">IFERROR(R20/P20,"")</f>
        <v>0.180995937555891</v>
      </c>
    </row>
    <row r="21" customFormat="false" ht="15" hidden="false" customHeight="true" outlineLevel="0" collapsed="false">
      <c r="A21" s="3" t="s">
        <v>169</v>
      </c>
      <c r="B21" s="3" t="s">
        <v>40</v>
      </c>
      <c r="C21" s="3" t="s">
        <v>145</v>
      </c>
      <c r="D21" s="5" t="n">
        <v>11.1</v>
      </c>
      <c r="E21" s="6" t="n">
        <v>1480</v>
      </c>
      <c r="F21" s="7" t="n">
        <v>18248</v>
      </c>
      <c r="G21" s="8" t="n">
        <v>68102</v>
      </c>
      <c r="H21" s="8" t="n">
        <v>68102</v>
      </c>
      <c r="I21" s="8" t="n">
        <v>83238</v>
      </c>
      <c r="J21" s="5" t="n">
        <v>89.3</v>
      </c>
      <c r="K21" s="8" t="n">
        <v>23250</v>
      </c>
      <c r="L21" s="6" t="n">
        <v>0</v>
      </c>
      <c r="M21" s="3" t="s">
        <v>134</v>
      </c>
      <c r="N21" s="3" t="str">
        <f aca="false">INDEX('State Mapping'!$B$2:$B$53,MATCH(B21,'State Mapping'!$A$2:$A$53,0))</f>
        <v>Massachusetts</v>
      </c>
      <c r="O21" s="8" t="n">
        <f aca="false">IFERROR(INDEX('State Premium Data'!$D$2:$D$53,MATCH(N21,'State Premium Data'!$A$2:$A$53,0)),"")</f>
        <v>36224</v>
      </c>
      <c r="P21" s="8" t="n">
        <f aca="false">IFERROR(INDEX('State Premium Data'!$C$2:$C$53,MATCH(N21,'State Premium Data'!$A$2:$A$53,0)),"")</f>
        <v>79985</v>
      </c>
      <c r="Q21" s="9" t="n">
        <f aca="false">IFERROR(K21/O21,"")</f>
        <v>0.641839664310954</v>
      </c>
      <c r="R21" s="8" t="n">
        <f aca="false">IFERROR(I21-P21,"")</f>
        <v>3253</v>
      </c>
      <c r="S21" s="10" t="n">
        <f aca="false">IFERROR(R21/P21,"")</f>
        <v>0.0406701256485591</v>
      </c>
    </row>
    <row r="22" customFormat="false" ht="15" hidden="false" customHeight="true" outlineLevel="0" collapsed="false">
      <c r="A22" s="3" t="s">
        <v>170</v>
      </c>
      <c r="B22" s="3" t="s">
        <v>32</v>
      </c>
      <c r="C22" s="3" t="s">
        <v>171</v>
      </c>
      <c r="D22" s="5" t="n">
        <v>11.3</v>
      </c>
      <c r="E22" s="6" t="n">
        <v>1520</v>
      </c>
      <c r="F22" s="7" t="n">
        <v>8818</v>
      </c>
      <c r="G22" s="8" t="n">
        <v>65025</v>
      </c>
      <c r="H22" s="8" t="n">
        <v>65025</v>
      </c>
      <c r="I22" s="8" t="n">
        <v>99980</v>
      </c>
      <c r="J22" s="5" t="n">
        <v>96</v>
      </c>
      <c r="K22" s="8" t="n">
        <v>19000</v>
      </c>
      <c r="L22" s="6" t="n">
        <v>0</v>
      </c>
      <c r="M22" s="3" t="s">
        <v>134</v>
      </c>
      <c r="N22" s="3" t="str">
        <f aca="false">INDEX('State Mapping'!$B$2:$B$53,MATCH(B22,'State Mapping'!$A$2:$A$53,0))</f>
        <v>Indiana</v>
      </c>
      <c r="O22" s="8" t="n">
        <f aca="false">IFERROR(INDEX('State Premium Data'!$D$2:$D$53,MATCH(N22,'State Premium Data'!$A$2:$A$53,0)),"")</f>
        <v>21077</v>
      </c>
      <c r="P22" s="8" t="n">
        <f aca="false">IFERROR(INDEX('State Premium Data'!$C$2:$C$53,MATCH(N22,'State Premium Data'!$A$2:$A$53,0)),"")</f>
        <v>60573</v>
      </c>
      <c r="Q22" s="9" t="n">
        <f aca="false">IFERROR(K22/O22,"")</f>
        <v>0.901456564027139</v>
      </c>
      <c r="R22" s="8" t="n">
        <f aca="false">IFERROR(I22-P22,"")</f>
        <v>39407</v>
      </c>
      <c r="S22" s="10" t="n">
        <f aca="false">IFERROR(R22/P22,"")</f>
        <v>0.650570386145642</v>
      </c>
    </row>
    <row r="23" customFormat="false" ht="15" hidden="false" customHeight="true" outlineLevel="0" collapsed="false">
      <c r="A23" s="3" t="s">
        <v>172</v>
      </c>
      <c r="B23" s="3" t="s">
        <v>40</v>
      </c>
      <c r="C23" s="3" t="s">
        <v>173</v>
      </c>
      <c r="D23" s="5" t="n">
        <v>11.5</v>
      </c>
      <c r="E23" s="6" t="n">
        <v>1513</v>
      </c>
      <c r="F23" s="7" t="n">
        <v>7061</v>
      </c>
      <c r="G23" s="8" t="n">
        <v>70704</v>
      </c>
      <c r="H23" s="8" t="n">
        <v>70704</v>
      </c>
      <c r="I23" s="8" t="n">
        <v>83214</v>
      </c>
      <c r="J23" s="5" t="n">
        <v>93.4</v>
      </c>
      <c r="K23" s="8" t="n">
        <v>16250</v>
      </c>
      <c r="L23" s="6" t="n">
        <v>1</v>
      </c>
      <c r="M23" s="3" t="s">
        <v>134</v>
      </c>
      <c r="N23" s="3" t="str">
        <f aca="false">INDEX('State Mapping'!$B$2:$B$53,MATCH(B23,'State Mapping'!$A$2:$A$53,0))</f>
        <v>Massachusetts</v>
      </c>
      <c r="O23" s="8" t="n">
        <f aca="false">IFERROR(INDEX('State Premium Data'!$D$2:$D$53,MATCH(N23,'State Premium Data'!$A$2:$A$53,0)),"")</f>
        <v>36224</v>
      </c>
      <c r="P23" s="8" t="n">
        <f aca="false">IFERROR(INDEX('State Premium Data'!$C$2:$C$53,MATCH(N23,'State Premium Data'!$A$2:$A$53,0)),"")</f>
        <v>79985</v>
      </c>
      <c r="Q23" s="9" t="n">
        <f aca="false">IFERROR(K23/O23,"")</f>
        <v>0.448597614840989</v>
      </c>
      <c r="R23" s="8" t="n">
        <f aca="false">IFERROR(I23-P23,"")</f>
        <v>3229</v>
      </c>
      <c r="S23" s="10" t="n">
        <f aca="false">IFERROR(R23/P23,"")</f>
        <v>0.0403700693880103</v>
      </c>
    </row>
    <row r="24" customFormat="false" ht="15" hidden="false" customHeight="true" outlineLevel="0" collapsed="false">
      <c r="A24" s="3" t="s">
        <v>174</v>
      </c>
      <c r="B24" s="3" t="s">
        <v>78</v>
      </c>
      <c r="C24" s="3" t="s">
        <v>175</v>
      </c>
      <c r="D24" s="5" t="n">
        <v>11.7</v>
      </c>
      <c r="E24" s="6" t="n">
        <v>1546</v>
      </c>
      <c r="F24" s="7" t="n">
        <v>7304</v>
      </c>
      <c r="G24" s="8" t="n">
        <v>66246</v>
      </c>
      <c r="H24" s="8" t="n">
        <v>66246</v>
      </c>
      <c r="I24" s="8" t="n">
        <v>114862</v>
      </c>
      <c r="J24" s="5" t="n">
        <v>93.3</v>
      </c>
      <c r="K24" s="8" t="n">
        <v>21750</v>
      </c>
      <c r="L24" s="6" t="n">
        <v>2</v>
      </c>
      <c r="M24" s="3" t="s">
        <v>134</v>
      </c>
      <c r="N24" s="3" t="str">
        <f aca="false">INDEX('State Mapping'!$B$2:$B$53,MATCH(B24,'State Mapping'!$A$2:$A$53,0))</f>
        <v>Pennsylvania</v>
      </c>
      <c r="O24" s="8" t="n">
        <f aca="false">IFERROR(INDEX('State Premium Data'!$D$2:$D$53,MATCH(N24,'State Premium Data'!$A$2:$A$53,0)),"")</f>
        <v>25342</v>
      </c>
      <c r="P24" s="8" t="n">
        <f aca="false">IFERROR(INDEX('State Premium Data'!$C$2:$C$53,MATCH(N24,'State Premium Data'!$A$2:$A$53,0)),"")</f>
        <v>65678</v>
      </c>
      <c r="Q24" s="9" t="n">
        <f aca="false">IFERROR(K24/O24,"")</f>
        <v>0.858259016652198</v>
      </c>
      <c r="R24" s="8" t="n">
        <f aca="false">IFERROR(I24-P24,"")</f>
        <v>49184</v>
      </c>
      <c r="S24" s="10" t="n">
        <f aca="false">IFERROR(R24/P24,"")</f>
        <v>0.748865678004811</v>
      </c>
    </row>
    <row r="25" customFormat="false" ht="15" hidden="false" customHeight="true" outlineLevel="0" collapsed="false">
      <c r="A25" s="3" t="s">
        <v>176</v>
      </c>
      <c r="B25" s="3" t="s">
        <v>50</v>
      </c>
      <c r="C25" s="3" t="s">
        <v>177</v>
      </c>
      <c r="D25" s="5" t="n">
        <v>12.1</v>
      </c>
      <c r="E25" s="6" t="n">
        <v>1530</v>
      </c>
      <c r="F25" s="7" t="n">
        <v>7857</v>
      </c>
      <c r="G25" s="8" t="n">
        <v>65790</v>
      </c>
      <c r="H25" s="8" t="n">
        <v>65790</v>
      </c>
      <c r="I25" s="8" t="n">
        <v>86182</v>
      </c>
      <c r="J25" s="5" t="n">
        <v>94.3</v>
      </c>
      <c r="K25" s="8" t="n">
        <v>17500</v>
      </c>
      <c r="L25" s="6" t="n">
        <v>5</v>
      </c>
      <c r="M25" s="3" t="s">
        <v>134</v>
      </c>
      <c r="N25" s="3" t="str">
        <f aca="false">INDEX('State Mapping'!$B$2:$B$53,MATCH(B25,'State Mapping'!$A$2:$A$53,0))</f>
        <v>Missouri</v>
      </c>
      <c r="O25" s="8" t="n">
        <f aca="false">IFERROR(INDEX('State Premium Data'!$D$2:$D$53,MATCH(N25,'State Premium Data'!$A$2:$A$53,0)),"")</f>
        <v>23998</v>
      </c>
      <c r="P25" s="8" t="n">
        <f aca="false">IFERROR(INDEX('State Premium Data'!$C$2:$C$53,MATCH(N25,'State Premium Data'!$A$2:$A$53,0)),"")</f>
        <v>61418</v>
      </c>
      <c r="Q25" s="9" t="n">
        <f aca="false">IFERROR(K25/O25,"")</f>
        <v>0.729227435619635</v>
      </c>
      <c r="R25" s="8" t="n">
        <f aca="false">IFERROR(I25-P25,"")</f>
        <v>24764</v>
      </c>
      <c r="S25" s="10" t="n">
        <f aca="false">IFERROR(R25/P25,"")</f>
        <v>0.403204272363151</v>
      </c>
    </row>
    <row r="26" customFormat="false" ht="15" hidden="false" customHeight="true" outlineLevel="0" collapsed="false">
      <c r="A26" s="3" t="s">
        <v>178</v>
      </c>
      <c r="B26" s="3" t="s">
        <v>16</v>
      </c>
      <c r="C26" s="3" t="s">
        <v>99</v>
      </c>
      <c r="D26" s="5" t="n">
        <v>12.9</v>
      </c>
      <c r="E26" s="6" t="n">
        <v>1487</v>
      </c>
      <c r="F26" s="7" t="n">
        <v>7569</v>
      </c>
      <c r="G26" s="8" t="n">
        <v>68017</v>
      </c>
      <c r="H26" s="8" t="n">
        <v>68017</v>
      </c>
      <c r="I26" s="8" t="n">
        <v>103494</v>
      </c>
      <c r="J26" s="5" t="n">
        <v>94.5</v>
      </c>
      <c r="K26" s="8" t="n">
        <v>15500</v>
      </c>
      <c r="L26" s="6" t="n">
        <v>0</v>
      </c>
      <c r="M26" s="3" t="s">
        <v>134</v>
      </c>
      <c r="N26" s="3" t="str">
        <f aca="false">INDEX('State Mapping'!$B$2:$B$53,MATCH(B26,'State Mapping'!$A$2:$A$53,0))</f>
        <v>District of Columbia</v>
      </c>
      <c r="O26" s="8" t="n">
        <f aca="false">IFERROR(INDEX('State Premium Data'!$D$2:$D$53,MATCH(N26,'State Premium Data'!$A$2:$A$53,0)),"")</f>
        <v>54913</v>
      </c>
      <c r="P26" s="8" t="n">
        <f aca="false">IFERROR(INDEX('State Premium Data'!$C$2:$C$53,MATCH(N26,'State Premium Data'!$A$2:$A$53,0)),"")</f>
        <v>95628</v>
      </c>
      <c r="Q26" s="9" t="n">
        <f aca="false">IFERROR(K26/O26,"")</f>
        <v>0.282264673210351</v>
      </c>
      <c r="R26" s="8" t="n">
        <f aca="false">IFERROR(I26-P26,"")</f>
        <v>7866</v>
      </c>
      <c r="S26" s="10" t="n">
        <f aca="false">IFERROR(R26/P26,"")</f>
        <v>0.0822562429413979</v>
      </c>
    </row>
    <row r="27" customFormat="false" ht="15" hidden="false" customHeight="true" outlineLevel="0" collapsed="false">
      <c r="A27" s="3" t="s">
        <v>179</v>
      </c>
      <c r="B27" s="3" t="s">
        <v>38</v>
      </c>
      <c r="C27" s="3" t="s">
        <v>180</v>
      </c>
      <c r="D27" s="5" t="n">
        <v>14</v>
      </c>
      <c r="E27" s="6" t="n">
        <v>1448</v>
      </c>
      <c r="F27" s="7" t="n">
        <v>7767</v>
      </c>
      <c r="G27" s="8" t="n">
        <v>68678</v>
      </c>
      <c r="H27" s="8" t="n">
        <v>68678</v>
      </c>
      <c r="I27" s="8" t="n">
        <v>63268</v>
      </c>
      <c r="J27" s="5" t="n">
        <v>87.5</v>
      </c>
      <c r="K27" s="8" t="n">
        <v>20500</v>
      </c>
      <c r="L27" s="6" t="n">
        <v>0</v>
      </c>
      <c r="M27" s="3" t="s">
        <v>134</v>
      </c>
      <c r="N27" s="3" t="str">
        <f aca="false">INDEX('State Mapping'!$B$2:$B$53,MATCH(B27,'State Mapping'!$A$2:$A$53,0))</f>
        <v>Louisiana</v>
      </c>
      <c r="O27" s="8" t="n">
        <f aca="false">IFERROR(INDEX('State Premium Data'!$D$2:$D$53,MATCH(N27,'State Premium Data'!$A$2:$A$53,0)),"")</f>
        <v>20975</v>
      </c>
      <c r="P27" s="8" t="n">
        <f aca="false">IFERROR(INDEX('State Premium Data'!$C$2:$C$53,MATCH(N27,'State Premium Data'!$A$2:$A$53,0)),"")</f>
        <v>57107</v>
      </c>
      <c r="Q27" s="9" t="n">
        <f aca="false">IFERROR(K27/O27,"")</f>
        <v>0.977353992848629</v>
      </c>
      <c r="R27" s="8" t="n">
        <f aca="false">IFERROR(I27-P27,"")</f>
        <v>6161</v>
      </c>
      <c r="S27" s="10" t="n">
        <f aca="false">IFERROR(R27/P27,"")</f>
        <v>0.107885197961721</v>
      </c>
    </row>
    <row r="28" customFormat="false" ht="15" hidden="false" customHeight="true" outlineLevel="0" collapsed="false">
      <c r="A28" s="3" t="s">
        <v>181</v>
      </c>
      <c r="B28" s="3" t="s">
        <v>22</v>
      </c>
      <c r="C28" s="3" t="s">
        <v>166</v>
      </c>
      <c r="D28" s="5" t="n">
        <v>14.1</v>
      </c>
      <c r="E28" s="6" t="n">
        <v>1480</v>
      </c>
      <c r="F28" s="7" t="n">
        <v>18785</v>
      </c>
      <c r="G28" s="8" t="n">
        <v>12058</v>
      </c>
      <c r="H28" s="8" t="n">
        <v>34484</v>
      </c>
      <c r="I28" s="8" t="n">
        <v>102772</v>
      </c>
      <c r="J28" s="5" t="n">
        <v>93.2</v>
      </c>
      <c r="K28" s="8" t="n">
        <v>21672</v>
      </c>
      <c r="L28" s="6" t="n">
        <v>0</v>
      </c>
      <c r="M28" s="3" t="s">
        <v>134</v>
      </c>
      <c r="N28" s="3" t="str">
        <f aca="false">INDEX('State Mapping'!$B$2:$B$53,MATCH(B28,'State Mapping'!$A$2:$A$53,0))</f>
        <v>Georgia</v>
      </c>
      <c r="O28" s="8" t="n">
        <f aca="false">IFERROR(INDEX('State Premium Data'!$D$2:$D$53,MATCH(N28,'State Premium Data'!$A$2:$A$53,0)),"")</f>
        <v>27365</v>
      </c>
      <c r="P28" s="8" t="n">
        <f aca="false">IFERROR(INDEX('State Premium Data'!$C$2:$C$53,MATCH(N28,'State Premium Data'!$A$2:$A$53,0)),"")</f>
        <v>64185</v>
      </c>
      <c r="Q28" s="9" t="n">
        <f aca="false">IFERROR(K28/O28,"")</f>
        <v>0.79196053352823</v>
      </c>
      <c r="R28" s="8" t="n">
        <f aca="false">IFERROR(I28-P28,"")</f>
        <v>38587</v>
      </c>
      <c r="S28" s="10" t="n">
        <f aca="false">IFERROR(R28/P28,"")</f>
        <v>0.601184077276622</v>
      </c>
    </row>
    <row r="29" customFormat="false" ht="15" hidden="false" customHeight="true" outlineLevel="0" collapsed="false">
      <c r="A29" s="3" t="s">
        <v>182</v>
      </c>
      <c r="B29" s="3" t="s">
        <v>56</v>
      </c>
      <c r="C29" s="3" t="s">
        <v>183</v>
      </c>
      <c r="D29" s="5" t="n">
        <v>15.3</v>
      </c>
      <c r="E29" s="6" t="n">
        <v>1439</v>
      </c>
      <c r="F29" s="7" t="n">
        <v>20752</v>
      </c>
      <c r="G29" s="8" t="n">
        <v>8994</v>
      </c>
      <c r="H29" s="8" t="n">
        <v>41203</v>
      </c>
      <c r="I29" s="8" t="n">
        <v>72200</v>
      </c>
      <c r="J29" s="5" t="n">
        <v>91.6</v>
      </c>
      <c r="K29" s="8" t="n">
        <v>14000</v>
      </c>
      <c r="L29" s="6" t="n">
        <v>2</v>
      </c>
      <c r="M29" s="3" t="s">
        <v>150</v>
      </c>
      <c r="N29" s="3" t="str">
        <f aca="false">INDEX('State Mapping'!$B$2:$B$53,MATCH(B29,'State Mapping'!$A$2:$A$53,0))</f>
        <v>North Carolina</v>
      </c>
      <c r="O29" s="8" t="n">
        <f aca="false">IFERROR(INDEX('State Premium Data'!$D$2:$D$53,MATCH(N29,'State Premium Data'!$A$2:$A$53,0)),"")</f>
        <v>25615</v>
      </c>
      <c r="P29" s="8" t="n">
        <f aca="false">IFERROR(INDEX('State Premium Data'!$C$2:$C$53,MATCH(N29,'State Premium Data'!$A$2:$A$53,0)),"")</f>
        <v>62338</v>
      </c>
      <c r="Q29" s="9" t="n">
        <f aca="false">IFERROR(K29/O29,"")</f>
        <v>0.546554753074371</v>
      </c>
      <c r="R29" s="8" t="n">
        <f aca="false">IFERROR(I29-P29,"")</f>
        <v>9862</v>
      </c>
      <c r="S29" s="10" t="n">
        <f aca="false">IFERROR(R29/P29,"")</f>
        <v>0.158202059738843</v>
      </c>
    </row>
    <row r="30" customFormat="false" ht="15" hidden="false" customHeight="true" outlineLevel="0" collapsed="false">
      <c r="A30" s="3" t="s">
        <v>184</v>
      </c>
      <c r="B30" s="3" t="s">
        <v>46</v>
      </c>
      <c r="C30" s="3" t="s">
        <v>185</v>
      </c>
      <c r="D30" s="5" t="n">
        <v>15.6</v>
      </c>
      <c r="E30" s="6" t="n">
        <v>1465</v>
      </c>
      <c r="F30" s="7" t="n">
        <v>34177</v>
      </c>
      <c r="G30" s="8" t="n">
        <v>17736</v>
      </c>
      <c r="H30" s="8" t="n">
        <v>60946</v>
      </c>
      <c r="I30" s="8" t="n">
        <v>83648</v>
      </c>
      <c r="J30" s="5" t="n">
        <v>93.2</v>
      </c>
      <c r="K30" s="8" t="n">
        <v>19500</v>
      </c>
      <c r="L30" s="6" t="n">
        <v>1</v>
      </c>
      <c r="M30" s="3" t="s">
        <v>150</v>
      </c>
      <c r="N30" s="3" t="str">
        <f aca="false">INDEX('State Mapping'!$B$2:$B$53,MATCH(B30,'State Mapping'!$A$2:$A$53,0))</f>
        <v>Michigan</v>
      </c>
      <c r="O30" s="8" t="n">
        <f aca="false">IFERROR(INDEX('State Premium Data'!$D$2:$D$53,MATCH(N30,'State Premium Data'!$A$2:$A$53,0)),"")</f>
        <v>27987</v>
      </c>
      <c r="P30" s="8" t="n">
        <f aca="false">IFERROR(INDEX('State Premium Data'!$C$2:$C$53,MATCH(N30,'State Premium Data'!$A$2:$A$53,0)),"")</f>
        <v>64810</v>
      </c>
      <c r="Q30" s="9" t="n">
        <f aca="false">IFERROR(K30/O30,"")</f>
        <v>0.696752063458034</v>
      </c>
      <c r="R30" s="8" t="n">
        <f aca="false">IFERROR(I30-P30,"")</f>
        <v>18838</v>
      </c>
      <c r="S30" s="10" t="n">
        <f aca="false">IFERROR(R30/P30,"")</f>
        <v>0.290665020830119</v>
      </c>
    </row>
    <row r="31" customFormat="false" ht="15" hidden="false" customHeight="true" outlineLevel="0" collapsed="false">
      <c r="A31" s="3" t="s">
        <v>186</v>
      </c>
      <c r="B31" s="3" t="s">
        <v>40</v>
      </c>
      <c r="C31" s="3" t="s">
        <v>187</v>
      </c>
      <c r="D31" s="5" t="n">
        <v>16.4</v>
      </c>
      <c r="E31" s="6" t="n">
        <v>1507</v>
      </c>
      <c r="F31" s="7" t="n">
        <v>10085</v>
      </c>
      <c r="G31" s="8" t="n">
        <v>70702</v>
      </c>
      <c r="H31" s="8" t="n">
        <v>70702</v>
      </c>
      <c r="I31" s="8" t="n">
        <v>103937</v>
      </c>
      <c r="J31" s="5" t="n">
        <v>90.9</v>
      </c>
      <c r="K31" s="8" t="n">
        <v>19000</v>
      </c>
      <c r="L31" s="6" t="n">
        <v>0</v>
      </c>
      <c r="M31" s="3" t="s">
        <v>134</v>
      </c>
      <c r="N31" s="3" t="str">
        <f aca="false">INDEX('State Mapping'!$B$2:$B$53,MATCH(B31,'State Mapping'!$A$2:$A$53,0))</f>
        <v>Massachusetts</v>
      </c>
      <c r="O31" s="8" t="n">
        <f aca="false">IFERROR(INDEX('State Premium Data'!$D$2:$D$53,MATCH(N31,'State Premium Data'!$A$2:$A$53,0)),"")</f>
        <v>36224</v>
      </c>
      <c r="P31" s="8" t="n">
        <f aca="false">IFERROR(INDEX('State Premium Data'!$C$2:$C$53,MATCH(N31,'State Premium Data'!$A$2:$A$53,0)),"")</f>
        <v>79985</v>
      </c>
      <c r="Q31" s="9" t="n">
        <f aca="false">IFERROR(K31/O31,"")</f>
        <v>0.524514134275618</v>
      </c>
      <c r="R31" s="8" t="n">
        <f aca="false">IFERROR(I31-P31,"")</f>
        <v>23952</v>
      </c>
      <c r="S31" s="10" t="n">
        <f aca="false">IFERROR(R31/P31,"")</f>
        <v>0.299456148027755</v>
      </c>
    </row>
    <row r="32" customFormat="false" ht="15" hidden="false" customHeight="true" outlineLevel="0" collapsed="false">
      <c r="A32" s="3" t="s">
        <v>188</v>
      </c>
      <c r="B32" s="3" t="s">
        <v>94</v>
      </c>
      <c r="C32" s="3" t="s">
        <v>189</v>
      </c>
      <c r="D32" s="5" t="n">
        <v>16.8</v>
      </c>
      <c r="E32" s="6" t="n">
        <v>1480</v>
      </c>
      <c r="F32" s="7" t="n">
        <v>17597</v>
      </c>
      <c r="G32" s="8" t="n">
        <v>21803</v>
      </c>
      <c r="H32" s="8" t="n">
        <v>59512</v>
      </c>
      <c r="I32" s="8" t="n">
        <v>86863</v>
      </c>
      <c r="J32" s="5" t="n">
        <v>95.5</v>
      </c>
      <c r="K32" s="8" t="n">
        <v>17500</v>
      </c>
      <c r="L32" s="6" t="n">
        <v>0</v>
      </c>
      <c r="M32" s="3" t="s">
        <v>150</v>
      </c>
      <c r="N32" s="3" t="str">
        <f aca="false">INDEX('State Mapping'!$B$2:$B$53,MATCH(B32,'State Mapping'!$A$2:$A$53,0))</f>
        <v>Virginia</v>
      </c>
      <c r="O32" s="8" t="n">
        <f aca="false">IFERROR(INDEX('State Premium Data'!$D$2:$D$53,MATCH(N32,'State Premium Data'!$A$2:$A$53,0)),"")</f>
        <v>33407</v>
      </c>
      <c r="P32" s="8" t="n">
        <f aca="false">IFERROR(INDEX('State Premium Data'!$C$2:$C$53,MATCH(N32,'State Premium Data'!$A$2:$A$53,0)),"")</f>
        <v>74468</v>
      </c>
      <c r="Q32" s="9" t="n">
        <f aca="false">IFERROR(K32/O32,"")</f>
        <v>0.523842308498219</v>
      </c>
      <c r="R32" s="8" t="n">
        <f aca="false">IFERROR(I32-P32,"")</f>
        <v>12395</v>
      </c>
      <c r="S32" s="10" t="n">
        <f aca="false">IFERROR(R32/P32,"")</f>
        <v>0.166447333082666</v>
      </c>
    </row>
    <row r="33" customFormat="false" ht="15" hidden="false" customHeight="true" outlineLevel="0" collapsed="false">
      <c r="A33" s="3" t="s">
        <v>190</v>
      </c>
      <c r="B33" s="3" t="s">
        <v>20</v>
      </c>
      <c r="C33" s="3" t="s">
        <v>191</v>
      </c>
      <c r="D33" s="5" t="n">
        <v>18.9</v>
      </c>
      <c r="E33" s="6" t="n">
        <v>1415</v>
      </c>
      <c r="F33" s="7" t="n">
        <v>12913</v>
      </c>
      <c r="G33" s="8" t="n">
        <v>62616</v>
      </c>
      <c r="H33" s="8" t="n">
        <v>62616</v>
      </c>
      <c r="I33" s="8" t="n">
        <v>75328</v>
      </c>
      <c r="J33" s="5" t="n">
        <v>84</v>
      </c>
      <c r="K33" s="8" t="n">
        <v>17500</v>
      </c>
      <c r="L33" s="6" t="n">
        <v>0</v>
      </c>
      <c r="M33" s="3" t="s">
        <v>150</v>
      </c>
      <c r="N33" s="3" t="str">
        <f aca="false">INDEX('State Mapping'!$B$2:$B$53,MATCH(B33,'State Mapping'!$A$2:$A$53,0))</f>
        <v>Florida</v>
      </c>
      <c r="O33" s="8" t="n">
        <f aca="false">IFERROR(INDEX('State Premium Data'!$D$2:$D$53,MATCH(N33,'State Premium Data'!$A$2:$A$53,0)),"")</f>
        <v>21625</v>
      </c>
      <c r="P33" s="8" t="n">
        <f aca="false">IFERROR(INDEX('State Premium Data'!$C$2:$C$53,MATCH(N33,'State Premium Data'!$A$2:$A$53,0)),"")</f>
        <v>58009</v>
      </c>
      <c r="Q33" s="9" t="n">
        <f aca="false">IFERROR(K33/O33,"")</f>
        <v>0.809248554913295</v>
      </c>
      <c r="R33" s="8" t="n">
        <f aca="false">IFERROR(I33-P33,"")</f>
        <v>17319</v>
      </c>
      <c r="S33" s="10" t="n">
        <f aca="false">IFERROR(R33/P33,"")</f>
        <v>0.298557120446827</v>
      </c>
    </row>
    <row r="34" customFormat="false" ht="15" hidden="false" customHeight="true" outlineLevel="0" collapsed="false">
      <c r="A34" s="3" t="s">
        <v>192</v>
      </c>
      <c r="B34" s="3" t="s">
        <v>20</v>
      </c>
      <c r="C34" s="3" t="s">
        <v>193</v>
      </c>
      <c r="D34" s="5" t="n">
        <v>20.6</v>
      </c>
      <c r="E34" s="6" t="n">
        <v>1107</v>
      </c>
      <c r="F34" s="7" t="n">
        <v>7582</v>
      </c>
      <c r="G34" s="8" t="n">
        <v>5785</v>
      </c>
      <c r="H34" s="8" t="n">
        <v>17725</v>
      </c>
      <c r="I34" s="8" t="n">
        <v>44349</v>
      </c>
      <c r="J34" s="5" t="n">
        <v>52.6</v>
      </c>
      <c r="K34" s="8" t="n">
        <v>23548</v>
      </c>
      <c r="L34" s="6" t="n">
        <v>0</v>
      </c>
      <c r="M34" s="3" t="s">
        <v>134</v>
      </c>
      <c r="N34" s="3" t="str">
        <f aca="false">INDEX('State Mapping'!$B$2:$B$53,MATCH(B34,'State Mapping'!$A$2:$A$53,0))</f>
        <v>Florida</v>
      </c>
      <c r="O34" s="8" t="n">
        <f aca="false">IFERROR(INDEX('State Premium Data'!$D$2:$D$53,MATCH(N34,'State Premium Data'!$A$2:$A$53,0)),"")</f>
        <v>21625</v>
      </c>
      <c r="P34" s="8" t="n">
        <f aca="false">IFERROR(INDEX('State Premium Data'!$C$2:$C$53,MATCH(N34,'State Premium Data'!$A$2:$A$53,0)),"")</f>
        <v>58009</v>
      </c>
      <c r="Q34" s="9" t="n">
        <f aca="false">IFERROR(K34/O34,"")</f>
        <v>1.08892485549133</v>
      </c>
      <c r="R34" s="8" t="n">
        <f aca="false">IFERROR(I34-P34,"")</f>
        <v>-13660</v>
      </c>
      <c r="S34" s="10" t="n">
        <f aca="false">IFERROR(R34/P34,"")</f>
        <v>-0.235480701270493</v>
      </c>
    </row>
    <row r="35" customFormat="false" ht="15" hidden="false" customHeight="true" outlineLevel="0" collapsed="false">
      <c r="A35" s="3" t="s">
        <v>194</v>
      </c>
      <c r="B35" s="3" t="s">
        <v>56</v>
      </c>
      <c r="C35" s="3" t="s">
        <v>195</v>
      </c>
      <c r="D35" s="5" t="n">
        <v>21.7</v>
      </c>
      <c r="E35" s="6" t="n">
        <v>1475</v>
      </c>
      <c r="F35" s="7" t="n">
        <v>5485</v>
      </c>
      <c r="G35" s="8" t="n">
        <v>67642</v>
      </c>
      <c r="H35" s="8" t="n">
        <v>67642</v>
      </c>
      <c r="I35" s="8" t="n">
        <v>78158</v>
      </c>
      <c r="J35" s="5" t="n">
        <v>90</v>
      </c>
      <c r="K35" s="8" t="n">
        <v>21500</v>
      </c>
      <c r="L35" s="6" t="n">
        <v>0</v>
      </c>
      <c r="M35" s="3" t="s">
        <v>134</v>
      </c>
      <c r="N35" s="3" t="str">
        <f aca="false">INDEX('State Mapping'!$B$2:$B$53,MATCH(B35,'State Mapping'!$A$2:$A$53,0))</f>
        <v>North Carolina</v>
      </c>
      <c r="O35" s="8" t="n">
        <f aca="false">IFERROR(INDEX('State Premium Data'!$D$2:$D$53,MATCH(N35,'State Premium Data'!$A$2:$A$53,0)),"")</f>
        <v>25615</v>
      </c>
      <c r="P35" s="8" t="n">
        <f aca="false">IFERROR(INDEX('State Premium Data'!$C$2:$C$53,MATCH(N35,'State Premium Data'!$A$2:$A$53,0)),"")</f>
        <v>62338</v>
      </c>
      <c r="Q35" s="9" t="n">
        <f aca="false">IFERROR(K35/O35,"")</f>
        <v>0.839351942221355</v>
      </c>
      <c r="R35" s="8" t="n">
        <f aca="false">IFERROR(I35-P35,"")</f>
        <v>15820</v>
      </c>
      <c r="S35" s="10" t="n">
        <f aca="false">IFERROR(R35/P35,"")</f>
        <v>0.25377779203696</v>
      </c>
    </row>
    <row r="36" customFormat="false" ht="15" hidden="false" customHeight="true" outlineLevel="0" collapsed="false">
      <c r="A36" s="3" t="s">
        <v>196</v>
      </c>
      <c r="B36" s="3" t="s">
        <v>20</v>
      </c>
      <c r="C36" s="3" t="s">
        <v>197</v>
      </c>
      <c r="D36" s="5" t="n">
        <v>24.2</v>
      </c>
      <c r="E36" s="6" t="n">
        <v>1403</v>
      </c>
      <c r="F36" s="7" t="n">
        <v>35629</v>
      </c>
      <c r="G36" s="8" t="n">
        <v>6381</v>
      </c>
      <c r="H36" s="8" t="n">
        <v>28659</v>
      </c>
      <c r="I36" s="8" t="n">
        <v>71588</v>
      </c>
      <c r="J36" s="5" t="n">
        <v>91.3</v>
      </c>
      <c r="K36" s="8" t="n">
        <v>15000</v>
      </c>
      <c r="L36" s="6" t="n">
        <v>0</v>
      </c>
      <c r="M36" s="3" t="s">
        <v>150</v>
      </c>
      <c r="N36" s="3" t="str">
        <f aca="false">INDEX('State Mapping'!$B$2:$B$53,MATCH(B36,'State Mapping'!$A$2:$A$53,0))</f>
        <v>Florida</v>
      </c>
      <c r="O36" s="8" t="n">
        <f aca="false">IFERROR(INDEX('State Premium Data'!$D$2:$D$53,MATCH(N36,'State Premium Data'!$A$2:$A$53,0)),"")</f>
        <v>21625</v>
      </c>
      <c r="P36" s="8" t="n">
        <f aca="false">IFERROR(INDEX('State Premium Data'!$C$2:$C$53,MATCH(N36,'State Premium Data'!$A$2:$A$53,0)),"")</f>
        <v>58009</v>
      </c>
      <c r="Q36" s="9" t="n">
        <f aca="false">IFERROR(K36/O36,"")</f>
        <v>0.69364161849711</v>
      </c>
      <c r="R36" s="8" t="n">
        <f aca="false">IFERROR(I36-P36,"")</f>
        <v>13579</v>
      </c>
      <c r="S36" s="10" t="n">
        <f aca="false">IFERROR(R36/P36,"")</f>
        <v>0.234084366219035</v>
      </c>
    </row>
    <row r="37" customFormat="false" ht="15" hidden="false" customHeight="true" outlineLevel="0" collapsed="false">
      <c r="A37" s="3" t="s">
        <v>198</v>
      </c>
      <c r="B37" s="3" t="s">
        <v>20</v>
      </c>
      <c r="C37" s="3" t="s">
        <v>193</v>
      </c>
      <c r="D37" s="5" t="n">
        <v>24.2</v>
      </c>
      <c r="E37" s="6" t="n">
        <v>1361</v>
      </c>
      <c r="F37" s="7" t="n">
        <v>32212</v>
      </c>
      <c r="G37" s="8" t="n">
        <v>5656</v>
      </c>
      <c r="H37" s="8" t="n">
        <v>18786</v>
      </c>
      <c r="I37" s="8" t="n">
        <v>61675</v>
      </c>
      <c r="J37" s="5" t="n">
        <v>84.3</v>
      </c>
      <c r="K37" s="8" t="n">
        <v>18000</v>
      </c>
      <c r="L37" s="6" t="n">
        <v>0</v>
      </c>
      <c r="M37" s="3" t="s">
        <v>134</v>
      </c>
      <c r="N37" s="3" t="str">
        <f aca="false">INDEX('State Mapping'!$B$2:$B$53,MATCH(B37,'State Mapping'!$A$2:$A$53,0))</f>
        <v>Florida</v>
      </c>
      <c r="O37" s="8" t="n">
        <f aca="false">IFERROR(INDEX('State Premium Data'!$D$2:$D$53,MATCH(N37,'State Premium Data'!$A$2:$A$53,0)),"")</f>
        <v>21625</v>
      </c>
      <c r="P37" s="8" t="n">
        <f aca="false">IFERROR(INDEX('State Premium Data'!$C$2:$C$53,MATCH(N37,'State Premium Data'!$A$2:$A$53,0)),"")</f>
        <v>58009</v>
      </c>
      <c r="Q37" s="9" t="n">
        <f aca="false">IFERROR(K37/O37,"")</f>
        <v>0.832369942196532</v>
      </c>
      <c r="R37" s="8" t="n">
        <f aca="false">IFERROR(I37-P37,"")</f>
        <v>3666</v>
      </c>
      <c r="S37" s="10" t="n">
        <f aca="false">IFERROR(R37/P37,"")</f>
        <v>0.0631970901067076</v>
      </c>
    </row>
    <row r="38" customFormat="false" ht="15" hidden="false" customHeight="true" outlineLevel="0" collapsed="false">
      <c r="A38" s="3" t="s">
        <v>199</v>
      </c>
      <c r="B38" s="3" t="s">
        <v>78</v>
      </c>
      <c r="C38" s="3" t="s">
        <v>200</v>
      </c>
      <c r="D38" s="5" t="n">
        <v>25.9</v>
      </c>
      <c r="E38" s="6" t="n">
        <v>1440</v>
      </c>
      <c r="F38" s="7" t="n">
        <v>5898</v>
      </c>
      <c r="G38" s="8" t="n">
        <v>64980</v>
      </c>
      <c r="H38" s="8" t="n">
        <v>64980</v>
      </c>
      <c r="I38" s="8" t="n">
        <v>105584</v>
      </c>
      <c r="J38" s="5" t="n">
        <v>88.5</v>
      </c>
      <c r="K38" s="8" t="n">
        <v>21960</v>
      </c>
      <c r="L38" s="6" t="n">
        <v>0</v>
      </c>
      <c r="M38" s="3" t="s">
        <v>150</v>
      </c>
      <c r="N38" s="3" t="str">
        <f aca="false">INDEX('State Mapping'!$B$2:$B$53,MATCH(B38,'State Mapping'!$A$2:$A$53,0))</f>
        <v>Pennsylvania</v>
      </c>
      <c r="O38" s="8" t="n">
        <f aca="false">IFERROR(INDEX('State Premium Data'!$D$2:$D$53,MATCH(N38,'State Premium Data'!$A$2:$A$53,0)),"")</f>
        <v>25342</v>
      </c>
      <c r="P38" s="8" t="n">
        <f aca="false">IFERROR(INDEX('State Premium Data'!$C$2:$C$53,MATCH(N38,'State Premium Data'!$A$2:$A$53,0)),"")</f>
        <v>65678</v>
      </c>
      <c r="Q38" s="9" t="n">
        <f aca="false">IFERROR(K38/O38,"")</f>
        <v>0.866545655433668</v>
      </c>
      <c r="R38" s="8" t="n">
        <f aca="false">IFERROR(I38-P38,"")</f>
        <v>39906</v>
      </c>
      <c r="S38" s="10" t="n">
        <f aca="false">IFERROR(R38/P38,"")</f>
        <v>0.607600718657694</v>
      </c>
    </row>
    <row r="39" customFormat="false" ht="15" hidden="false" customHeight="true" outlineLevel="0" collapsed="false">
      <c r="A39" s="3" t="s">
        <v>201</v>
      </c>
      <c r="B39" s="3" t="s">
        <v>90</v>
      </c>
      <c r="C39" s="3" t="s">
        <v>202</v>
      </c>
      <c r="D39" s="5" t="n">
        <v>26.6</v>
      </c>
      <c r="E39" s="6" t="n">
        <v>1395</v>
      </c>
      <c r="F39" s="7" t="n">
        <v>42855</v>
      </c>
      <c r="G39" s="8" t="n">
        <v>11688</v>
      </c>
      <c r="H39" s="8" t="n">
        <v>44908</v>
      </c>
      <c r="I39" s="8" t="n">
        <v>75121</v>
      </c>
      <c r="J39" s="5" t="n">
        <v>88.3</v>
      </c>
      <c r="K39" s="8" t="n">
        <v>20500</v>
      </c>
      <c r="L39" s="6" t="n">
        <v>0</v>
      </c>
      <c r="M39" s="3" t="s">
        <v>150</v>
      </c>
      <c r="N39" s="3" t="str">
        <f aca="false">INDEX('State Mapping'!$B$2:$B$53,MATCH(B39,'State Mapping'!$A$2:$A$53,0))</f>
        <v>Texas</v>
      </c>
      <c r="O39" s="8" t="n">
        <f aca="false">IFERROR(INDEX('State Premium Data'!$D$2:$D$53,MATCH(N39,'State Premium Data'!$A$2:$A$53,0)),"")</f>
        <v>29388</v>
      </c>
      <c r="P39" s="8" t="n">
        <f aca="false">IFERROR(INDEX('State Premium Data'!$C$2:$C$53,MATCH(N39,'State Premium Data'!$A$2:$A$53,0)),"")</f>
        <v>66474</v>
      </c>
      <c r="Q39" s="9" t="n">
        <f aca="false">IFERROR(K39/O39,"")</f>
        <v>0.697563631414183</v>
      </c>
      <c r="R39" s="8" t="n">
        <f aca="false">IFERROR(I39-P39,"")</f>
        <v>8647</v>
      </c>
      <c r="S39" s="10" t="n">
        <f aca="false">IFERROR(R39/P39,"")</f>
        <v>0.130080933898968</v>
      </c>
    </row>
    <row r="40" customFormat="false" ht="15" hidden="false" customHeight="true" outlineLevel="0" collapsed="false">
      <c r="A40" s="3" t="s">
        <v>203</v>
      </c>
      <c r="B40" s="3" t="s">
        <v>10</v>
      </c>
      <c r="C40" s="3" t="s">
        <v>204</v>
      </c>
      <c r="D40" s="5" t="n">
        <v>26.7</v>
      </c>
      <c r="E40" s="6"/>
      <c r="F40" s="7" t="n">
        <v>34948</v>
      </c>
      <c r="G40" s="8" t="n">
        <v>16758</v>
      </c>
      <c r="H40" s="8" t="n">
        <v>50958</v>
      </c>
      <c r="I40" s="8" t="n">
        <v>84943</v>
      </c>
      <c r="J40" s="5" t="n">
        <v>86.8</v>
      </c>
      <c r="K40" s="8" t="n">
        <v>15500</v>
      </c>
      <c r="L40" s="6" t="n">
        <v>43</v>
      </c>
      <c r="M40" s="3" t="s">
        <v>150</v>
      </c>
      <c r="N40" s="3" t="str">
        <f aca="false">INDEX('State Mapping'!$B$2:$B$53,MATCH(B40,'State Mapping'!$A$2:$A$53,0))</f>
        <v>California</v>
      </c>
      <c r="O40" s="8" t="n">
        <f aca="false">IFERROR(INDEX('State Premium Data'!$D$2:$D$53,MATCH(N40,'State Premium Data'!$A$2:$A$53,0)),"")</f>
        <v>37475</v>
      </c>
      <c r="P40" s="8" t="n">
        <f aca="false">IFERROR(INDEX('State Premium Data'!$C$2:$C$53,MATCH(N40,'State Premium Data'!$A$2:$A$53,0)),"")</f>
        <v>78278</v>
      </c>
      <c r="Q40" s="9" t="n">
        <f aca="false">IFERROR(K40/O40,"")</f>
        <v>0.413609072715143</v>
      </c>
      <c r="R40" s="8" t="n">
        <f aca="false">IFERROR(I40-P40,"")</f>
        <v>6665</v>
      </c>
      <c r="S40" s="10" t="n">
        <f aca="false">IFERROR(R40/P40,"")</f>
        <v>0.0851452515393853</v>
      </c>
    </row>
    <row r="41" customFormat="false" ht="15" hidden="false" customHeight="true" outlineLevel="0" collapsed="false">
      <c r="A41" s="3" t="s">
        <v>205</v>
      </c>
      <c r="B41" s="3" t="s">
        <v>78</v>
      </c>
      <c r="C41" s="3" t="s">
        <v>206</v>
      </c>
      <c r="D41" s="5" t="n">
        <v>27</v>
      </c>
      <c r="E41" s="6" t="n">
        <v>1460</v>
      </c>
      <c r="F41" s="7" t="n">
        <v>6938</v>
      </c>
      <c r="G41" s="8" t="n">
        <v>67776</v>
      </c>
      <c r="H41" s="8" t="n">
        <v>67776</v>
      </c>
      <c r="I41" s="8" t="n">
        <v>100423</v>
      </c>
      <c r="J41" s="5" t="n">
        <v>92.1</v>
      </c>
      <c r="K41" s="8" t="n">
        <v>25874</v>
      </c>
      <c r="L41" s="6" t="n">
        <v>0</v>
      </c>
      <c r="M41" s="3" t="s">
        <v>150</v>
      </c>
      <c r="N41" s="3" t="str">
        <f aca="false">INDEX('State Mapping'!$B$2:$B$53,MATCH(B41,'State Mapping'!$A$2:$A$53,0))</f>
        <v>Pennsylvania</v>
      </c>
      <c r="O41" s="8" t="n">
        <f aca="false">IFERROR(INDEX('State Premium Data'!$D$2:$D$53,MATCH(N41,'State Premium Data'!$A$2:$A$53,0)),"")</f>
        <v>25342</v>
      </c>
      <c r="P41" s="8" t="n">
        <f aca="false">IFERROR(INDEX('State Premium Data'!$C$2:$C$53,MATCH(N41,'State Premium Data'!$A$2:$A$53,0)),"")</f>
        <v>65678</v>
      </c>
      <c r="Q41" s="9" t="n">
        <f aca="false">IFERROR(K41/O41,"")</f>
        <v>1.02099281824639</v>
      </c>
      <c r="R41" s="8" t="n">
        <f aca="false">IFERROR(I41-P41,"")</f>
        <v>34745</v>
      </c>
      <c r="S41" s="10" t="n">
        <f aca="false">IFERROR(R41/P41,"")</f>
        <v>0.529020372118518</v>
      </c>
    </row>
    <row r="42" customFormat="false" ht="15" hidden="false" customHeight="true" outlineLevel="0" collapsed="false">
      <c r="A42" s="3" t="s">
        <v>207</v>
      </c>
      <c r="B42" s="3" t="s">
        <v>10</v>
      </c>
      <c r="C42" s="3" t="s">
        <v>208</v>
      </c>
      <c r="D42" s="5" t="n">
        <v>28.6</v>
      </c>
      <c r="E42" s="6"/>
      <c r="F42" s="7" t="n">
        <v>30197</v>
      </c>
      <c r="G42" s="8" t="n">
        <v>15722</v>
      </c>
      <c r="H42" s="8" t="n">
        <v>49922</v>
      </c>
      <c r="I42" s="8" t="n">
        <v>80735</v>
      </c>
      <c r="J42" s="5" t="n">
        <v>86.4</v>
      </c>
      <c r="K42" s="8" t="n">
        <v>15000</v>
      </c>
      <c r="L42" s="6" t="n">
        <v>43</v>
      </c>
      <c r="M42" s="3" t="s">
        <v>150</v>
      </c>
      <c r="N42" s="3" t="str">
        <f aca="false">INDEX('State Mapping'!$B$2:$B$53,MATCH(B42,'State Mapping'!$A$2:$A$53,0))</f>
        <v>California</v>
      </c>
      <c r="O42" s="8" t="n">
        <f aca="false">IFERROR(INDEX('State Premium Data'!$D$2:$D$53,MATCH(N42,'State Premium Data'!$A$2:$A$53,0)),"")</f>
        <v>37475</v>
      </c>
      <c r="P42" s="8" t="n">
        <f aca="false">IFERROR(INDEX('State Premium Data'!$C$2:$C$53,MATCH(N42,'State Premium Data'!$A$2:$A$53,0)),"")</f>
        <v>78278</v>
      </c>
      <c r="Q42" s="9" t="n">
        <f aca="false">IFERROR(K42/O42,"")</f>
        <v>0.400266844563042</v>
      </c>
      <c r="R42" s="8" t="n">
        <f aca="false">IFERROR(I42-P42,"")</f>
        <v>2457</v>
      </c>
      <c r="S42" s="10" t="n">
        <f aca="false">IFERROR(R42/P42,"")</f>
        <v>0.0313881294872122</v>
      </c>
    </row>
    <row r="43" customFormat="false" ht="15" hidden="false" customHeight="true" outlineLevel="0" collapsed="false">
      <c r="A43" s="3" t="s">
        <v>209</v>
      </c>
      <c r="B43" s="3" t="s">
        <v>10</v>
      </c>
      <c r="C43" s="3" t="s">
        <v>210</v>
      </c>
      <c r="D43" s="5" t="n">
        <v>31.3</v>
      </c>
      <c r="E43" s="6"/>
      <c r="F43" s="7" t="n">
        <v>21996</v>
      </c>
      <c r="G43" s="8" t="n">
        <v>13596</v>
      </c>
      <c r="H43" s="8" t="n">
        <v>34665</v>
      </c>
      <c r="I43" s="8" t="n">
        <v>90768</v>
      </c>
      <c r="J43" s="5" t="n">
        <v>85.7</v>
      </c>
      <c r="K43" s="8" t="n">
        <v>18500</v>
      </c>
      <c r="L43" s="6" t="n">
        <v>0</v>
      </c>
      <c r="M43" s="3" t="s">
        <v>134</v>
      </c>
      <c r="N43" s="3" t="str">
        <f aca="false">INDEX('State Mapping'!$B$2:$B$53,MATCH(B43,'State Mapping'!$A$2:$A$53,0))</f>
        <v>California</v>
      </c>
      <c r="O43" s="8" t="n">
        <f aca="false">IFERROR(INDEX('State Premium Data'!$D$2:$D$53,MATCH(N43,'State Premium Data'!$A$2:$A$53,0)),"")</f>
        <v>37475</v>
      </c>
      <c r="P43" s="8" t="n">
        <f aca="false">IFERROR(INDEX('State Premium Data'!$C$2:$C$53,MATCH(N43,'State Premium Data'!$A$2:$A$53,0)),"")</f>
        <v>78278</v>
      </c>
      <c r="Q43" s="9" t="n">
        <f aca="false">IFERROR(K43/O43,"")</f>
        <v>0.493662441627752</v>
      </c>
      <c r="R43" s="8" t="n">
        <f aca="false">IFERROR(I43-P43,"")</f>
        <v>12490</v>
      </c>
      <c r="S43" s="10" t="n">
        <f aca="false">IFERROR(R43/P43,"")</f>
        <v>0.159559518638698</v>
      </c>
    </row>
    <row r="44" customFormat="false" ht="15" hidden="false" customHeight="true" outlineLevel="0" collapsed="false">
      <c r="A44" s="3" t="s">
        <v>211</v>
      </c>
      <c r="B44" s="3" t="s">
        <v>10</v>
      </c>
      <c r="C44" s="3" t="s">
        <v>212</v>
      </c>
      <c r="D44" s="5" t="n">
        <v>33</v>
      </c>
      <c r="E44" s="6"/>
      <c r="F44" s="7" t="n">
        <v>23113</v>
      </c>
      <c r="G44" s="8" t="n">
        <v>16414</v>
      </c>
      <c r="H44" s="8" t="n">
        <v>50614</v>
      </c>
      <c r="I44" s="8" t="n">
        <v>74915</v>
      </c>
      <c r="J44" s="5" t="n">
        <v>84.2</v>
      </c>
      <c r="K44" s="8" t="n">
        <v>13993</v>
      </c>
      <c r="L44" s="6" t="n">
        <v>43</v>
      </c>
      <c r="M44" s="3" t="s">
        <v>150</v>
      </c>
      <c r="N44" s="3" t="str">
        <f aca="false">INDEX('State Mapping'!$B$2:$B$53,MATCH(B44,'State Mapping'!$A$2:$A$53,0))</f>
        <v>California</v>
      </c>
      <c r="O44" s="8" t="n">
        <f aca="false">IFERROR(INDEX('State Premium Data'!$D$2:$D$53,MATCH(N44,'State Premium Data'!$A$2:$A$53,0)),"")</f>
        <v>37475</v>
      </c>
      <c r="P44" s="8" t="n">
        <f aca="false">IFERROR(INDEX('State Premium Data'!$C$2:$C$53,MATCH(N44,'State Premium Data'!$A$2:$A$53,0)),"")</f>
        <v>78278</v>
      </c>
      <c r="Q44" s="9" t="n">
        <f aca="false">IFERROR(K44/O44,"")</f>
        <v>0.37339559706471</v>
      </c>
      <c r="R44" s="8" t="n">
        <f aca="false">IFERROR(I44-P44,"")</f>
        <v>-3363</v>
      </c>
      <c r="S44" s="10" t="n">
        <f aca="false">IFERROR(R44/P44,"")</f>
        <v>-0.0429622627047191</v>
      </c>
    </row>
    <row r="45" customFormat="false" ht="15" hidden="false" customHeight="true" outlineLevel="0" collapsed="false">
      <c r="A45" s="3" t="s">
        <v>213</v>
      </c>
      <c r="B45" s="3" t="s">
        <v>14</v>
      </c>
      <c r="C45" s="3" t="s">
        <v>214</v>
      </c>
      <c r="D45" s="5" t="n">
        <v>33.3</v>
      </c>
      <c r="E45" s="6" t="n">
        <v>1335</v>
      </c>
      <c r="F45" s="7" t="n">
        <v>5373</v>
      </c>
      <c r="G45" s="8" t="n">
        <v>58350</v>
      </c>
      <c r="H45" s="8" t="n">
        <v>58350</v>
      </c>
      <c r="I45" s="8" t="n">
        <v>88794</v>
      </c>
      <c r="J45" s="5" t="n">
        <v>84.1</v>
      </c>
      <c r="K45" s="8" t="n">
        <v>26000</v>
      </c>
      <c r="L45" s="6" t="n">
        <v>0</v>
      </c>
      <c r="M45" s="3" t="s">
        <v>134</v>
      </c>
      <c r="N45" s="3" t="str">
        <f aca="false">INDEX('State Mapping'!$B$2:$B$53,MATCH(B45,'State Mapping'!$A$2:$A$53,0))</f>
        <v>Connecticut</v>
      </c>
      <c r="O45" s="8" t="n">
        <f aca="false">IFERROR(INDEX('State Premium Data'!$D$2:$D$53,MATCH(N45,'State Premium Data'!$A$2:$A$53,0)),"")</f>
        <v>33855</v>
      </c>
      <c r="P45" s="8" t="n">
        <f aca="false">IFERROR(INDEX('State Premium Data'!$C$2:$C$53,MATCH(N45,'State Premium Data'!$A$2:$A$53,0)),"")</f>
        <v>75975</v>
      </c>
      <c r="Q45" s="9" t="n">
        <f aca="false">IFERROR(K45/O45,"")</f>
        <v>0.767981095849948</v>
      </c>
      <c r="R45" s="8" t="n">
        <f aca="false">IFERROR(I45-P45,"")</f>
        <v>12819</v>
      </c>
      <c r="S45" s="10" t="n">
        <f aca="false">IFERROR(R45/P45,"")</f>
        <v>0.168726554787759</v>
      </c>
    </row>
    <row r="46" customFormat="false" ht="15" hidden="false" customHeight="true" outlineLevel="0" collapsed="false">
      <c r="A46" s="3" t="s">
        <v>215</v>
      </c>
      <c r="B46" s="3" t="s">
        <v>94</v>
      </c>
      <c r="C46" s="3" t="s">
        <v>216</v>
      </c>
      <c r="D46" s="5" t="n">
        <v>34.1</v>
      </c>
      <c r="E46" s="6" t="n">
        <v>1473</v>
      </c>
      <c r="F46" s="7" t="n">
        <v>7055</v>
      </c>
      <c r="G46" s="8" t="n">
        <v>25914</v>
      </c>
      <c r="H46" s="8" t="n">
        <v>51038</v>
      </c>
      <c r="I46" s="8" t="n">
        <v>73490</v>
      </c>
      <c r="J46" s="5" t="n">
        <v>90.2</v>
      </c>
      <c r="K46" s="8" t="n">
        <v>18500</v>
      </c>
      <c r="L46" s="6" t="n">
        <v>0</v>
      </c>
      <c r="M46" s="3" t="s">
        <v>134</v>
      </c>
      <c r="N46" s="3" t="str">
        <f aca="false">INDEX('State Mapping'!$B$2:$B$53,MATCH(B46,'State Mapping'!$A$2:$A$53,0))</f>
        <v>Virginia</v>
      </c>
      <c r="O46" s="8" t="n">
        <f aca="false">IFERROR(INDEX('State Premium Data'!$D$2:$D$53,MATCH(N46,'State Premium Data'!$A$2:$A$53,0)),"")</f>
        <v>33407</v>
      </c>
      <c r="P46" s="8" t="n">
        <f aca="false">IFERROR(INDEX('State Premium Data'!$C$2:$C$53,MATCH(N46,'State Premium Data'!$A$2:$A$53,0)),"")</f>
        <v>74468</v>
      </c>
      <c r="Q46" s="9" t="n">
        <f aca="false">IFERROR(K46/O46,"")</f>
        <v>0.553776154698117</v>
      </c>
      <c r="R46" s="8" t="n">
        <f aca="false">IFERROR(I46-P46,"")</f>
        <v>-978</v>
      </c>
      <c r="S46" s="10" t="n">
        <f aca="false">IFERROR(R46/P46,"")</f>
        <v>-0.0131331578664661</v>
      </c>
    </row>
    <row r="47" customFormat="false" ht="15" hidden="false" customHeight="true" outlineLevel="0" collapsed="false">
      <c r="A47" s="3" t="s">
        <v>217</v>
      </c>
      <c r="B47" s="3" t="s">
        <v>38</v>
      </c>
      <c r="C47" s="3" t="s">
        <v>218</v>
      </c>
      <c r="D47" s="5" t="n">
        <v>35.1</v>
      </c>
      <c r="E47" s="6" t="n">
        <v>942</v>
      </c>
      <c r="F47" s="7" t="n">
        <v>5519</v>
      </c>
      <c r="G47" s="8" t="n">
        <v>9922</v>
      </c>
      <c r="H47" s="8" t="n">
        <v>17272</v>
      </c>
      <c r="I47" s="8" t="n">
        <v>43371</v>
      </c>
      <c r="J47" s="5" t="n">
        <v>27.7</v>
      </c>
      <c r="K47" s="8" t="n">
        <v>29251</v>
      </c>
      <c r="L47" s="6" t="n">
        <v>0</v>
      </c>
      <c r="M47" s="3" t="s">
        <v>134</v>
      </c>
      <c r="N47" s="3" t="str">
        <f aca="false">INDEX('State Mapping'!$B$2:$B$53,MATCH(B47,'State Mapping'!$A$2:$A$53,0))</f>
        <v>Louisiana</v>
      </c>
      <c r="O47" s="8" t="n">
        <f aca="false">IFERROR(INDEX('State Premium Data'!$D$2:$D$53,MATCH(N47,'State Premium Data'!$A$2:$A$53,0)),"")</f>
        <v>20975</v>
      </c>
      <c r="P47" s="8" t="n">
        <f aca="false">IFERROR(INDEX('State Premium Data'!$C$2:$C$53,MATCH(N47,'State Premium Data'!$A$2:$A$53,0)),"")</f>
        <v>57107</v>
      </c>
      <c r="Q47" s="9" t="n">
        <f aca="false">IFERROR(K47/O47,"")</f>
        <v>1.39456495828367</v>
      </c>
      <c r="R47" s="8" t="n">
        <f aca="false">IFERROR(I47-P47,"")</f>
        <v>-13736</v>
      </c>
      <c r="S47" s="10" t="n">
        <f aca="false">IFERROR(R47/P47,"")</f>
        <v>-0.240530933160558</v>
      </c>
    </row>
    <row r="48" customFormat="false" ht="15" hidden="false" customHeight="true" outlineLevel="0" collapsed="false">
      <c r="A48" s="3" t="s">
        <v>219</v>
      </c>
      <c r="B48" s="3" t="s">
        <v>10</v>
      </c>
      <c r="C48" s="3" t="s">
        <v>220</v>
      </c>
      <c r="D48" s="5" t="n">
        <v>36.2</v>
      </c>
      <c r="E48" s="6"/>
      <c r="F48" s="7" t="n">
        <v>35377</v>
      </c>
      <c r="G48" s="8" t="n">
        <v>8728</v>
      </c>
      <c r="H48" s="8" t="n">
        <v>21328</v>
      </c>
      <c r="I48" s="8" t="n">
        <v>64909</v>
      </c>
      <c r="J48" s="5" t="n">
        <v>77.3</v>
      </c>
      <c r="K48" s="8" t="n">
        <v>15000</v>
      </c>
      <c r="L48" s="6" t="n">
        <v>0</v>
      </c>
      <c r="M48" s="3" t="s">
        <v>134</v>
      </c>
      <c r="N48" s="3" t="str">
        <f aca="false">INDEX('State Mapping'!$B$2:$B$53,MATCH(B48,'State Mapping'!$A$2:$A$53,0))</f>
        <v>California</v>
      </c>
      <c r="O48" s="8" t="n">
        <f aca="false">IFERROR(INDEX('State Premium Data'!$D$2:$D$53,MATCH(N48,'State Premium Data'!$A$2:$A$53,0)),"")</f>
        <v>37475</v>
      </c>
      <c r="P48" s="8" t="n">
        <f aca="false">IFERROR(INDEX('State Premium Data'!$C$2:$C$53,MATCH(N48,'State Premium Data'!$A$2:$A$53,0)),"")</f>
        <v>78278</v>
      </c>
      <c r="Q48" s="9" t="n">
        <f aca="false">IFERROR(K48/O48,"")</f>
        <v>0.400266844563042</v>
      </c>
      <c r="R48" s="8" t="n">
        <f aca="false">IFERROR(I48-P48,"")</f>
        <v>-13369</v>
      </c>
      <c r="S48" s="10" t="n">
        <f aca="false">IFERROR(R48/P48,"")</f>
        <v>-0.170788727356345</v>
      </c>
    </row>
    <row r="49" customFormat="false" ht="15" hidden="false" customHeight="true" outlineLevel="0" collapsed="false">
      <c r="A49" s="3" t="s">
        <v>221</v>
      </c>
      <c r="B49" s="3" t="s">
        <v>72</v>
      </c>
      <c r="C49" s="3" t="s">
        <v>222</v>
      </c>
      <c r="D49" s="5" t="n">
        <v>36.5</v>
      </c>
      <c r="E49" s="6" t="n">
        <v>1513</v>
      </c>
      <c r="F49" s="7" t="n">
        <v>6437</v>
      </c>
      <c r="G49" s="8" t="n">
        <v>66608</v>
      </c>
      <c r="H49" s="8" t="n">
        <v>66608</v>
      </c>
      <c r="I49" s="8" t="n">
        <v>87989</v>
      </c>
      <c r="J49" s="5" t="n">
        <v>87.1</v>
      </c>
      <c r="K49" s="8" t="n">
        <v>24000</v>
      </c>
      <c r="L49" s="6" t="n">
        <v>0</v>
      </c>
      <c r="M49" s="3" t="s">
        <v>134</v>
      </c>
      <c r="N49" s="3" t="str">
        <f aca="false">INDEX('State Mapping'!$B$2:$B$53,MATCH(B49,'State Mapping'!$A$2:$A$53,0))</f>
        <v>Ohio</v>
      </c>
      <c r="O49" s="8" t="n">
        <f aca="false">IFERROR(INDEX('State Premium Data'!$D$2:$D$53,MATCH(N49,'State Premium Data'!$A$2:$A$53,0)),"")</f>
        <v>26943</v>
      </c>
      <c r="P49" s="8" t="n">
        <f aca="false">IFERROR(INDEX('State Premium Data'!$C$2:$C$53,MATCH(N49,'State Premium Data'!$A$2:$A$53,0)),"")</f>
        <v>64933</v>
      </c>
      <c r="Q49" s="9" t="n">
        <f aca="false">IFERROR(K49/O49,"")</f>
        <v>0.890769402071039</v>
      </c>
      <c r="R49" s="8" t="n">
        <f aca="false">IFERROR(I49-P49,"")</f>
        <v>23056</v>
      </c>
      <c r="S49" s="10" t="n">
        <f aca="false">IFERROR(R49/P49,"")</f>
        <v>0.355073691343385</v>
      </c>
    </row>
    <row r="50" customFormat="false" ht="15" hidden="false" customHeight="true" outlineLevel="0" collapsed="false">
      <c r="A50" s="3" t="s">
        <v>223</v>
      </c>
      <c r="B50" s="3" t="s">
        <v>22</v>
      </c>
      <c r="C50" s="3" t="s">
        <v>224</v>
      </c>
      <c r="D50" s="5" t="n">
        <v>37.7</v>
      </c>
      <c r="E50" s="6" t="n">
        <v>1397</v>
      </c>
      <c r="F50" s="7" t="n">
        <v>32137</v>
      </c>
      <c r="G50" s="8" t="n">
        <v>11450</v>
      </c>
      <c r="H50" s="8" t="n">
        <v>31688</v>
      </c>
      <c r="I50" s="8" t="n">
        <v>68726</v>
      </c>
      <c r="J50" s="5" t="n">
        <v>88.9</v>
      </c>
      <c r="K50" s="8" t="n">
        <v>18500</v>
      </c>
      <c r="L50" s="6" t="n">
        <v>0</v>
      </c>
      <c r="M50" s="3" t="s">
        <v>150</v>
      </c>
      <c r="N50" s="3" t="str">
        <f aca="false">INDEX('State Mapping'!$B$2:$B$53,MATCH(B50,'State Mapping'!$A$2:$A$53,0))</f>
        <v>Georgia</v>
      </c>
      <c r="O50" s="8" t="n">
        <f aca="false">IFERROR(INDEX('State Premium Data'!$D$2:$D$53,MATCH(N50,'State Premium Data'!$A$2:$A$53,0)),"")</f>
        <v>27365</v>
      </c>
      <c r="P50" s="8" t="n">
        <f aca="false">IFERROR(INDEX('State Premium Data'!$C$2:$C$53,MATCH(N50,'State Premium Data'!$A$2:$A$53,0)),"")</f>
        <v>64185</v>
      </c>
      <c r="Q50" s="9" t="n">
        <f aca="false">IFERROR(K50/O50,"")</f>
        <v>0.676046044217066</v>
      </c>
      <c r="R50" s="8" t="n">
        <f aca="false">IFERROR(I50-P50,"")</f>
        <v>4541</v>
      </c>
      <c r="S50" s="10" t="n">
        <f aca="false">IFERROR(R50/P50,"")</f>
        <v>0.0707486172781803</v>
      </c>
    </row>
    <row r="51" customFormat="false" ht="15" hidden="false" customHeight="true" outlineLevel="0" collapsed="false">
      <c r="A51" s="3" t="s">
        <v>225</v>
      </c>
      <c r="B51" s="3" t="s">
        <v>84</v>
      </c>
      <c r="C51" s="3" t="s">
        <v>226</v>
      </c>
      <c r="D51" s="5" t="n">
        <v>38.3</v>
      </c>
      <c r="E51" s="6" t="n">
        <v>1353</v>
      </c>
      <c r="F51" s="7" t="n">
        <v>23300</v>
      </c>
      <c r="G51" s="8" t="n">
        <v>15554</v>
      </c>
      <c r="H51" s="8" t="n">
        <v>40866</v>
      </c>
      <c r="I51" s="8" t="n">
        <v>71513</v>
      </c>
      <c r="J51" s="5" t="n">
        <v>87.2</v>
      </c>
      <c r="K51" s="8" t="n">
        <v>21500</v>
      </c>
      <c r="L51" s="6" t="n">
        <v>0</v>
      </c>
      <c r="M51" s="3" t="s">
        <v>150</v>
      </c>
      <c r="N51" s="3" t="str">
        <f aca="false">INDEX('State Mapping'!$B$2:$B$53,MATCH(B51,'State Mapping'!$A$2:$A$53,0))</f>
        <v>South Carolina</v>
      </c>
      <c r="O51" s="8" t="n">
        <f aca="false">IFERROR(INDEX('State Premium Data'!$D$2:$D$53,MATCH(N51,'State Premium Data'!$A$2:$A$53,0)),"")</f>
        <v>23850</v>
      </c>
      <c r="P51" s="8" t="n">
        <f aca="false">IFERROR(INDEX('State Premium Data'!$C$2:$C$53,MATCH(N51,'State Premium Data'!$A$2:$A$53,0)),"")</f>
        <v>60590</v>
      </c>
      <c r="Q51" s="9" t="n">
        <f aca="false">IFERROR(K51/O51,"")</f>
        <v>0.90146750524109</v>
      </c>
      <c r="R51" s="8" t="n">
        <f aca="false">IFERROR(I51-P51,"")</f>
        <v>10923</v>
      </c>
      <c r="S51" s="10" t="n">
        <f aca="false">IFERROR(R51/P51,"")</f>
        <v>0.180277273477472</v>
      </c>
    </row>
    <row r="52" customFormat="false" ht="15" hidden="false" customHeight="true" outlineLevel="0" collapsed="false">
      <c r="A52" s="3" t="s">
        <v>227</v>
      </c>
      <c r="B52" s="3" t="s">
        <v>70</v>
      </c>
      <c r="C52" s="3" t="s">
        <v>228</v>
      </c>
      <c r="D52" s="5" t="n">
        <v>38.6</v>
      </c>
      <c r="E52" s="6" t="n">
        <v>1415</v>
      </c>
      <c r="F52" s="7" t="n">
        <v>14655</v>
      </c>
      <c r="G52" s="8" t="n">
        <v>10567</v>
      </c>
      <c r="H52" s="8" t="n">
        <v>30447</v>
      </c>
      <c r="I52" s="8" t="n">
        <v>80596</v>
      </c>
      <c r="J52" s="5" t="n">
        <v>82.6</v>
      </c>
      <c r="K52" s="8" t="n">
        <v>18500</v>
      </c>
      <c r="L52" s="6" t="n">
        <v>0</v>
      </c>
      <c r="M52" s="3" t="s">
        <v>134</v>
      </c>
      <c r="N52" s="3" t="str">
        <f aca="false">INDEX('State Mapping'!$B$2:$B$53,MATCH(B52,'State Mapping'!$A$2:$A$53,0))</f>
        <v>New York</v>
      </c>
      <c r="O52" s="8" t="n">
        <f aca="false">IFERROR(INDEX('State Premium Data'!$D$2:$D$53,MATCH(N52,'State Premium Data'!$A$2:$A$53,0)),"")</f>
        <v>34733</v>
      </c>
      <c r="P52" s="8" t="n">
        <f aca="false">IFERROR(INDEX('State Premium Data'!$C$2:$C$53,MATCH(N52,'State Premium Data'!$A$2:$A$53,0)),"")</f>
        <v>74504</v>
      </c>
      <c r="Q52" s="9" t="n">
        <f aca="false">IFERROR(K52/O52,"")</f>
        <v>0.53263467019837</v>
      </c>
      <c r="R52" s="8" t="n">
        <f aca="false">IFERROR(I52-P52,"")</f>
        <v>6092</v>
      </c>
      <c r="S52" s="10" t="n">
        <f aca="false">IFERROR(R52/P52,"")</f>
        <v>0.0817674218833888</v>
      </c>
    </row>
    <row r="53" customFormat="false" ht="15" hidden="false" customHeight="true" outlineLevel="0" collapsed="false">
      <c r="A53" s="3" t="s">
        <v>229</v>
      </c>
      <c r="B53" s="3" t="s">
        <v>98</v>
      </c>
      <c r="C53" s="3" t="s">
        <v>230</v>
      </c>
      <c r="D53" s="5" t="n">
        <v>39.1</v>
      </c>
      <c r="E53" s="6"/>
      <c r="F53" s="7" t="n">
        <v>31942</v>
      </c>
      <c r="G53" s="8" t="n">
        <v>12973</v>
      </c>
      <c r="H53" s="8" t="n">
        <v>43209</v>
      </c>
      <c r="I53" s="8" t="n">
        <v>78466</v>
      </c>
      <c r="J53" s="5" t="n">
        <v>84.5</v>
      </c>
      <c r="K53" s="8" t="n">
        <v>14615</v>
      </c>
      <c r="L53" s="6" t="n">
        <v>0</v>
      </c>
      <c r="M53" s="3" t="s">
        <v>134</v>
      </c>
      <c r="N53" s="3" t="str">
        <f aca="false">INDEX('State Mapping'!$B$2:$B$53,MATCH(B53,'State Mapping'!$A$2:$A$53,0))</f>
        <v>Washington</v>
      </c>
      <c r="O53" s="8" t="n">
        <f aca="false">IFERROR(INDEX('State Premium Data'!$D$2:$D$53,MATCH(N53,'State Premium Data'!$A$2:$A$53,0)),"")</f>
        <v>33619</v>
      </c>
      <c r="P53" s="8" t="n">
        <f aca="false">IFERROR(INDEX('State Premium Data'!$C$2:$C$53,MATCH(N53,'State Premium Data'!$A$2:$A$53,0)),"")</f>
        <v>78485</v>
      </c>
      <c r="Q53" s="9" t="n">
        <f aca="false">IFERROR(K53/O53,"")</f>
        <v>0.434724411790952</v>
      </c>
      <c r="R53" s="8" t="n">
        <f aca="false">IFERROR(I53-P53,"")</f>
        <v>-19</v>
      </c>
      <c r="S53" s="10" t="n">
        <f aca="false">IFERROR(R53/P53,"")</f>
        <v>-0.000242084474740396</v>
      </c>
    </row>
    <row r="54" customFormat="false" ht="15" hidden="false" customHeight="true" outlineLevel="0" collapsed="false">
      <c r="A54" s="3" t="s">
        <v>231</v>
      </c>
      <c r="B54" s="3" t="s">
        <v>70</v>
      </c>
      <c r="C54" s="3" t="s">
        <v>232</v>
      </c>
      <c r="D54" s="5" t="n">
        <v>40.1</v>
      </c>
      <c r="E54" s="6" t="n">
        <v>1488</v>
      </c>
      <c r="F54" s="7" t="n">
        <v>6331</v>
      </c>
      <c r="G54" s="8" t="n">
        <v>67080</v>
      </c>
      <c r="H54" s="8" t="n">
        <v>67080</v>
      </c>
      <c r="I54" s="8" t="n">
        <v>79042</v>
      </c>
      <c r="J54" s="5" t="n">
        <v>85</v>
      </c>
      <c r="K54" s="8" t="n">
        <v>21000</v>
      </c>
      <c r="L54" s="6" t="n">
        <v>1</v>
      </c>
      <c r="M54" s="3" t="s">
        <v>134</v>
      </c>
      <c r="N54" s="3" t="str">
        <f aca="false">INDEX('State Mapping'!$B$2:$B$53,MATCH(B54,'State Mapping'!$A$2:$A$53,0))</f>
        <v>New York</v>
      </c>
      <c r="O54" s="8" t="n">
        <f aca="false">IFERROR(INDEX('State Premium Data'!$D$2:$D$53,MATCH(N54,'State Premium Data'!$A$2:$A$53,0)),"")</f>
        <v>34733</v>
      </c>
      <c r="P54" s="8" t="n">
        <f aca="false">IFERROR(INDEX('State Premium Data'!$C$2:$C$53,MATCH(N54,'State Premium Data'!$A$2:$A$53,0)),"")</f>
        <v>74504</v>
      </c>
      <c r="Q54" s="9" t="n">
        <f aca="false">IFERROR(K54/O54,"")</f>
        <v>0.604612328333285</v>
      </c>
      <c r="R54" s="8" t="n">
        <f aca="false">IFERROR(I54-P54,"")</f>
        <v>4538</v>
      </c>
      <c r="S54" s="10" t="n">
        <f aca="false">IFERROR(R54/P54,"")</f>
        <v>0.0609094813701278</v>
      </c>
    </row>
    <row r="55" customFormat="false" ht="15" hidden="false" customHeight="true" outlineLevel="0" collapsed="false">
      <c r="A55" s="3" t="s">
        <v>233</v>
      </c>
      <c r="B55" s="3" t="s">
        <v>20</v>
      </c>
      <c r="C55" s="3" t="s">
        <v>234</v>
      </c>
      <c r="D55" s="5" t="n">
        <v>40.1</v>
      </c>
      <c r="E55" s="6" t="n">
        <v>1269</v>
      </c>
      <c r="F55" s="7" t="n">
        <v>59146</v>
      </c>
      <c r="G55" s="8" t="n">
        <v>6368</v>
      </c>
      <c r="H55" s="8" t="n">
        <v>22467</v>
      </c>
      <c r="I55" s="8" t="n">
        <v>58308</v>
      </c>
      <c r="J55" s="5" t="n">
        <v>76.6</v>
      </c>
      <c r="K55" s="8" t="n">
        <v>18190</v>
      </c>
      <c r="L55" s="6" t="n">
        <v>0</v>
      </c>
      <c r="M55" s="3" t="s">
        <v>150</v>
      </c>
      <c r="N55" s="3" t="str">
        <f aca="false">INDEX('State Mapping'!$B$2:$B$53,MATCH(B55,'State Mapping'!$A$2:$A$53,0))</f>
        <v>Florida</v>
      </c>
      <c r="O55" s="8" t="n">
        <f aca="false">IFERROR(INDEX('State Premium Data'!$D$2:$D$53,MATCH(N55,'State Premium Data'!$A$2:$A$53,0)),"")</f>
        <v>21625</v>
      </c>
      <c r="P55" s="8" t="n">
        <f aca="false">IFERROR(INDEX('State Premium Data'!$C$2:$C$53,MATCH(N55,'State Premium Data'!$A$2:$A$53,0)),"")</f>
        <v>58009</v>
      </c>
      <c r="Q55" s="9" t="n">
        <f aca="false">IFERROR(K55/O55,"")</f>
        <v>0.841156069364162</v>
      </c>
      <c r="R55" s="8" t="n">
        <f aca="false">IFERROR(I55-P55,"")</f>
        <v>299</v>
      </c>
      <c r="S55" s="10" t="n">
        <f aca="false">IFERROR(R55/P55,"")</f>
        <v>0.00515437259735558</v>
      </c>
    </row>
    <row r="56" customFormat="false" ht="15" hidden="false" customHeight="true" outlineLevel="0" collapsed="false">
      <c r="A56" s="3" t="s">
        <v>235</v>
      </c>
      <c r="B56" s="3" t="s">
        <v>20</v>
      </c>
      <c r="C56" s="3" t="s">
        <v>236</v>
      </c>
      <c r="D56" s="5" t="n">
        <v>40.3</v>
      </c>
      <c r="E56" s="6"/>
      <c r="F56" s="7" t="n">
        <v>10572</v>
      </c>
      <c r="G56" s="8" t="n">
        <v>34408</v>
      </c>
      <c r="H56" s="8" t="n">
        <v>34408</v>
      </c>
      <c r="I56" s="8" t="n">
        <v>59436</v>
      </c>
      <c r="J56" s="5" t="n">
        <v>62.8</v>
      </c>
      <c r="K56" s="8" t="n">
        <v>24211</v>
      </c>
      <c r="L56" s="6" t="n">
        <v>0</v>
      </c>
      <c r="M56" s="3" t="s">
        <v>134</v>
      </c>
      <c r="N56" s="3" t="str">
        <f aca="false">INDEX('State Mapping'!$B$2:$B$53,MATCH(B56,'State Mapping'!$A$2:$A$53,0))</f>
        <v>Florida</v>
      </c>
      <c r="O56" s="8" t="n">
        <f aca="false">IFERROR(INDEX('State Premium Data'!$D$2:$D$53,MATCH(N56,'State Premium Data'!$A$2:$A$53,0)),"")</f>
        <v>21625</v>
      </c>
      <c r="P56" s="8" t="n">
        <f aca="false">IFERROR(INDEX('State Premium Data'!$C$2:$C$53,MATCH(N56,'State Premium Data'!$A$2:$A$53,0)),"")</f>
        <v>58009</v>
      </c>
      <c r="Q56" s="9" t="n">
        <f aca="false">IFERROR(K56/O56,"")</f>
        <v>1.1195838150289</v>
      </c>
      <c r="R56" s="8" t="n">
        <f aca="false">IFERROR(I56-P56,"")</f>
        <v>1427</v>
      </c>
      <c r="S56" s="10" t="n">
        <f aca="false">IFERROR(R56/P56,"")</f>
        <v>0.0245996310917271</v>
      </c>
    </row>
    <row r="57" customFormat="false" ht="15" hidden="false" customHeight="true" outlineLevel="0" collapsed="false">
      <c r="A57" s="3" t="s">
        <v>237</v>
      </c>
      <c r="B57" s="3" t="s">
        <v>16</v>
      </c>
      <c r="C57" s="3" t="s">
        <v>99</v>
      </c>
      <c r="D57" s="5" t="n">
        <v>41.3</v>
      </c>
      <c r="E57" s="6" t="n">
        <v>1213</v>
      </c>
      <c r="F57" s="7" t="n">
        <v>10108</v>
      </c>
      <c r="G57" s="8" t="n">
        <v>35810</v>
      </c>
      <c r="H57" s="8" t="n">
        <v>35810</v>
      </c>
      <c r="I57" s="8" t="n">
        <v>63066</v>
      </c>
      <c r="J57" s="5" t="n">
        <v>69.3</v>
      </c>
      <c r="K57" s="8" t="n">
        <v>24500</v>
      </c>
      <c r="L57" s="6" t="n">
        <v>0</v>
      </c>
      <c r="M57" s="3" t="s">
        <v>150</v>
      </c>
      <c r="N57" s="3" t="str">
        <f aca="false">INDEX('State Mapping'!$B$2:$B$53,MATCH(B57,'State Mapping'!$A$2:$A$53,0))</f>
        <v>District of Columbia</v>
      </c>
      <c r="O57" s="8" t="n">
        <f aca="false">IFERROR(INDEX('State Premium Data'!$D$2:$D$53,MATCH(N57,'State Premium Data'!$A$2:$A$53,0)),"")</f>
        <v>54913</v>
      </c>
      <c r="P57" s="8" t="n">
        <f aca="false">IFERROR(INDEX('State Premium Data'!$C$2:$C$53,MATCH(N57,'State Premium Data'!$A$2:$A$53,0)),"")</f>
        <v>95628</v>
      </c>
      <c r="Q57" s="9" t="n">
        <f aca="false">IFERROR(K57/O57,"")</f>
        <v>0.446160289913135</v>
      </c>
      <c r="R57" s="8" t="n">
        <f aca="false">IFERROR(I57-P57,"")</f>
        <v>-32562</v>
      </c>
      <c r="S57" s="10" t="n">
        <f aca="false">IFERROR(R57/P57,"")</f>
        <v>-0.340506964487389</v>
      </c>
    </row>
    <row r="58" customFormat="false" ht="15" hidden="false" customHeight="true" outlineLevel="0" collapsed="false">
      <c r="A58" s="3" t="s">
        <v>238</v>
      </c>
      <c r="B58" s="3" t="s">
        <v>88</v>
      </c>
      <c r="C58" s="3" t="s">
        <v>239</v>
      </c>
      <c r="D58" s="5" t="n">
        <v>41.6</v>
      </c>
      <c r="E58" s="6" t="n">
        <v>1311</v>
      </c>
      <c r="F58" s="7" t="n">
        <v>30418</v>
      </c>
      <c r="G58" s="8" t="n">
        <v>13812</v>
      </c>
      <c r="H58" s="8" t="n">
        <v>33256</v>
      </c>
      <c r="I58" s="8" t="n">
        <v>60249</v>
      </c>
      <c r="J58" s="5" t="n">
        <v>73.7</v>
      </c>
      <c r="K58" s="8" t="n">
        <v>20500</v>
      </c>
      <c r="L58" s="6" t="n">
        <v>0</v>
      </c>
      <c r="M58" s="3" t="s">
        <v>150</v>
      </c>
      <c r="N58" s="3" t="str">
        <f aca="false">INDEX('State Mapping'!$B$2:$B$53,MATCH(B58,'State Mapping'!$A$2:$A$53,0))</f>
        <v>Tennessee</v>
      </c>
      <c r="O58" s="8" t="n">
        <f aca="false">IFERROR(INDEX('State Premium Data'!$D$2:$D$53,MATCH(N58,'State Premium Data'!$A$2:$A$53,0)),"")</f>
        <v>23496</v>
      </c>
      <c r="P58" s="8" t="n">
        <f aca="false">IFERROR(INDEX('State Premium Data'!$C$2:$C$53,MATCH(N58,'State Premium Data'!$A$2:$A$53,0)),"")</f>
        <v>61189</v>
      </c>
      <c r="Q58" s="9" t="n">
        <f aca="false">IFERROR(K58/O58,"")</f>
        <v>0.872488934286687</v>
      </c>
      <c r="R58" s="8" t="n">
        <f aca="false">IFERROR(I58-P58,"")</f>
        <v>-940</v>
      </c>
      <c r="S58" s="10" t="n">
        <f aca="false">IFERROR(R58/P58,"")</f>
        <v>-0.0153622383108075</v>
      </c>
    </row>
    <row r="59" customFormat="false" ht="15" hidden="false" customHeight="true" outlineLevel="0" collapsed="false">
      <c r="A59" s="3" t="s">
        <v>240</v>
      </c>
      <c r="B59" s="3" t="s">
        <v>56</v>
      </c>
      <c r="C59" s="3" t="s">
        <v>241</v>
      </c>
      <c r="D59" s="5" t="n">
        <v>41.7</v>
      </c>
      <c r="E59" s="6" t="n">
        <v>1376</v>
      </c>
      <c r="F59" s="7" t="n">
        <v>27371</v>
      </c>
      <c r="G59" s="8" t="n">
        <v>8799</v>
      </c>
      <c r="H59" s="8" t="n">
        <v>32847</v>
      </c>
      <c r="I59" s="8" t="n">
        <v>68758</v>
      </c>
      <c r="J59" s="5" t="n">
        <v>84.7</v>
      </c>
      <c r="K59" s="8" t="n">
        <v>20121</v>
      </c>
      <c r="L59" s="6" t="n">
        <v>0</v>
      </c>
      <c r="M59" s="3" t="s">
        <v>150</v>
      </c>
      <c r="N59" s="3" t="str">
        <f aca="false">INDEX('State Mapping'!$B$2:$B$53,MATCH(B59,'State Mapping'!$A$2:$A$53,0))</f>
        <v>North Carolina</v>
      </c>
      <c r="O59" s="8" t="n">
        <f aca="false">IFERROR(INDEX('State Premium Data'!$D$2:$D$53,MATCH(N59,'State Premium Data'!$A$2:$A$53,0)),"")</f>
        <v>25615</v>
      </c>
      <c r="P59" s="8" t="n">
        <f aca="false">IFERROR(INDEX('State Premium Data'!$C$2:$C$53,MATCH(N59,'State Premium Data'!$A$2:$A$53,0)),"")</f>
        <v>62338</v>
      </c>
      <c r="Q59" s="9" t="n">
        <f aca="false">IFERROR(K59/O59,"")</f>
        <v>0.785516299043529</v>
      </c>
      <c r="R59" s="8" t="n">
        <f aca="false">IFERROR(I59-P59,"")</f>
        <v>6420</v>
      </c>
      <c r="S59" s="10" t="n">
        <f aca="false">IFERROR(R59/P59,"")</f>
        <v>0.102986942154063</v>
      </c>
    </row>
    <row r="60" customFormat="false" ht="15" hidden="false" customHeight="true" outlineLevel="0" collapsed="false">
      <c r="A60" s="3" t="s">
        <v>242</v>
      </c>
      <c r="B60" s="3" t="s">
        <v>10</v>
      </c>
      <c r="C60" s="3" t="s">
        <v>243</v>
      </c>
      <c r="D60" s="5" t="n">
        <v>41.8</v>
      </c>
      <c r="E60" s="6"/>
      <c r="F60" s="7" t="n">
        <v>32253</v>
      </c>
      <c r="G60" s="8" t="n">
        <v>16774</v>
      </c>
      <c r="H60" s="8" t="n">
        <v>50974</v>
      </c>
      <c r="I60" s="8" t="n">
        <v>80838</v>
      </c>
      <c r="J60" s="5" t="n">
        <v>85.4</v>
      </c>
      <c r="K60" s="8" t="n">
        <v>13000</v>
      </c>
      <c r="L60" s="6" t="n">
        <v>43</v>
      </c>
      <c r="M60" s="3" t="s">
        <v>150</v>
      </c>
      <c r="N60" s="3" t="str">
        <f aca="false">INDEX('State Mapping'!$B$2:$B$53,MATCH(B60,'State Mapping'!$A$2:$A$53,0))</f>
        <v>California</v>
      </c>
      <c r="O60" s="8" t="n">
        <f aca="false">IFERROR(INDEX('State Premium Data'!$D$2:$D$53,MATCH(N60,'State Premium Data'!$A$2:$A$53,0)),"")</f>
        <v>37475</v>
      </c>
      <c r="P60" s="8" t="n">
        <f aca="false">IFERROR(INDEX('State Premium Data'!$C$2:$C$53,MATCH(N60,'State Premium Data'!$A$2:$A$53,0)),"")</f>
        <v>78278</v>
      </c>
      <c r="Q60" s="9" t="n">
        <f aca="false">IFERROR(K60/O60,"")</f>
        <v>0.346897931954636</v>
      </c>
      <c r="R60" s="8" t="n">
        <f aca="false">IFERROR(I60-P60,"")</f>
        <v>2560</v>
      </c>
      <c r="S60" s="10" t="n">
        <f aca="false">IFERROR(R60/P60,"")</f>
        <v>0.0327039525792688</v>
      </c>
    </row>
    <row r="61" customFormat="false" ht="15" hidden="false" customHeight="true" outlineLevel="0" collapsed="false">
      <c r="A61" s="3" t="s">
        <v>244</v>
      </c>
      <c r="B61" s="3" t="s">
        <v>30</v>
      </c>
      <c r="C61" s="3" t="s">
        <v>245</v>
      </c>
      <c r="D61" s="5" t="n">
        <v>42.4</v>
      </c>
      <c r="E61" s="6" t="n">
        <v>1440</v>
      </c>
      <c r="F61" s="7" t="n">
        <v>36258</v>
      </c>
      <c r="G61" s="8" t="n">
        <v>16004</v>
      </c>
      <c r="H61" s="8" t="n">
        <v>35124</v>
      </c>
      <c r="I61" s="8" t="n">
        <v>81054</v>
      </c>
      <c r="J61" s="5" t="n">
        <v>85</v>
      </c>
      <c r="K61" s="8" t="n">
        <v>19500</v>
      </c>
      <c r="L61" s="6" t="n">
        <v>4</v>
      </c>
      <c r="M61" s="3" t="s">
        <v>150</v>
      </c>
      <c r="N61" s="3" t="str">
        <f aca="false">INDEX('State Mapping'!$B$2:$B$53,MATCH(B61,'State Mapping'!$A$2:$A$53,0))</f>
        <v>Illinois</v>
      </c>
      <c r="O61" s="8" t="n">
        <f aca="false">IFERROR(INDEX('State Premium Data'!$D$2:$D$53,MATCH(N61,'State Premium Data'!$A$2:$A$53,0)),"")</f>
        <v>30842</v>
      </c>
      <c r="P61" s="8" t="n">
        <f aca="false">IFERROR(INDEX('State Premium Data'!$C$2:$C$53,MATCH(N61,'State Premium Data'!$A$2:$A$53,0)),"")</f>
        <v>71127</v>
      </c>
      <c r="Q61" s="9" t="n">
        <f aca="false">IFERROR(K61/O61,"")</f>
        <v>0.632254717592893</v>
      </c>
      <c r="R61" s="8" t="n">
        <f aca="false">IFERROR(I61-P61,"")</f>
        <v>9927</v>
      </c>
      <c r="S61" s="10" t="n">
        <f aca="false">IFERROR(R61/P61,"")</f>
        <v>0.139567252941921</v>
      </c>
    </row>
    <row r="62" customFormat="false" ht="15" hidden="false" customHeight="true" outlineLevel="0" collapsed="false">
      <c r="A62" s="3" t="s">
        <v>246</v>
      </c>
      <c r="B62" s="3" t="s">
        <v>20</v>
      </c>
      <c r="C62" s="3" t="s">
        <v>236</v>
      </c>
      <c r="D62" s="5" t="n">
        <v>43.2</v>
      </c>
      <c r="E62" s="6" t="n">
        <v>1227</v>
      </c>
      <c r="F62" s="7" t="n">
        <v>37207</v>
      </c>
      <c r="G62" s="8" t="n">
        <v>6410</v>
      </c>
      <c r="H62" s="8" t="n">
        <v>17324</v>
      </c>
      <c r="I62" s="8" t="n">
        <v>57743</v>
      </c>
      <c r="J62" s="5" t="n">
        <v>75.7</v>
      </c>
      <c r="K62" s="8" t="n">
        <v>17988</v>
      </c>
      <c r="L62" s="6" t="n">
        <v>0</v>
      </c>
      <c r="M62" s="3" t="s">
        <v>150</v>
      </c>
      <c r="N62" s="3" t="str">
        <f aca="false">INDEX('State Mapping'!$B$2:$B$53,MATCH(B62,'State Mapping'!$A$2:$A$53,0))</f>
        <v>Florida</v>
      </c>
      <c r="O62" s="8" t="n">
        <f aca="false">IFERROR(INDEX('State Premium Data'!$D$2:$D$53,MATCH(N62,'State Premium Data'!$A$2:$A$53,0)),"")</f>
        <v>21625</v>
      </c>
      <c r="P62" s="8" t="n">
        <f aca="false">IFERROR(INDEX('State Premium Data'!$C$2:$C$53,MATCH(N62,'State Premium Data'!$A$2:$A$53,0)),"")</f>
        <v>58009</v>
      </c>
      <c r="Q62" s="9" t="n">
        <f aca="false">IFERROR(K62/O62,"")</f>
        <v>0.831815028901734</v>
      </c>
      <c r="R62" s="8" t="n">
        <f aca="false">IFERROR(I62-P62,"")</f>
        <v>-266</v>
      </c>
      <c r="S62" s="10" t="n">
        <f aca="false">IFERROR(R62/P62,"")</f>
        <v>-0.00458549535416918</v>
      </c>
    </row>
    <row r="63" customFormat="false" ht="15" hidden="false" customHeight="true" outlineLevel="0" collapsed="false">
      <c r="A63" s="3" t="s">
        <v>247</v>
      </c>
      <c r="B63" s="3" t="s">
        <v>40</v>
      </c>
      <c r="C63" s="3" t="s">
        <v>145</v>
      </c>
      <c r="D63" s="5" t="n">
        <v>43.5</v>
      </c>
      <c r="E63" s="6"/>
      <c r="F63" s="7" t="n">
        <v>7468</v>
      </c>
      <c r="G63" s="8" t="n">
        <v>52040</v>
      </c>
      <c r="H63" s="8" t="n">
        <v>52040</v>
      </c>
      <c r="I63" s="8" t="n">
        <v>33647</v>
      </c>
      <c r="J63" s="5" t="n">
        <v>66.8</v>
      </c>
      <c r="K63" s="8" t="n">
        <v>25000</v>
      </c>
      <c r="L63" s="6" t="n">
        <v>0</v>
      </c>
      <c r="M63" s="3" t="s">
        <v>134</v>
      </c>
      <c r="N63" s="3" t="str">
        <f aca="false">INDEX('State Mapping'!$B$2:$B$53,MATCH(B63,'State Mapping'!$A$2:$A$53,0))</f>
        <v>Massachusetts</v>
      </c>
      <c r="O63" s="8" t="n">
        <f aca="false">IFERROR(INDEX('State Premium Data'!$D$2:$D$53,MATCH(N63,'State Premium Data'!$A$2:$A$53,0)),"")</f>
        <v>36224</v>
      </c>
      <c r="P63" s="8" t="n">
        <f aca="false">IFERROR(INDEX('State Premium Data'!$C$2:$C$53,MATCH(N63,'State Premium Data'!$A$2:$A$53,0)),"")</f>
        <v>79985</v>
      </c>
      <c r="Q63" s="9" t="n">
        <f aca="false">IFERROR(K63/O63,"")</f>
        <v>0.690150176678445</v>
      </c>
      <c r="R63" s="8" t="n">
        <f aca="false">IFERROR(I63-P63,"")</f>
        <v>-46338</v>
      </c>
      <c r="S63" s="10" t="n">
        <f aca="false">IFERROR(R63/P63,"")</f>
        <v>-0.579333625054698</v>
      </c>
    </row>
    <row r="64" customFormat="false" ht="15" hidden="false" customHeight="true" outlineLevel="0" collapsed="false">
      <c r="A64" s="3" t="s">
        <v>248</v>
      </c>
      <c r="B64" s="3" t="s">
        <v>90</v>
      </c>
      <c r="C64" s="3" t="s">
        <v>249</v>
      </c>
      <c r="D64" s="5" t="n">
        <v>44.4</v>
      </c>
      <c r="E64" s="6" t="n">
        <v>993</v>
      </c>
      <c r="F64" s="7" t="n">
        <v>6667</v>
      </c>
      <c r="G64" s="8" t="n">
        <v>7894</v>
      </c>
      <c r="H64" s="8" t="n">
        <v>19454</v>
      </c>
      <c r="I64" s="8" t="n">
        <v>48386</v>
      </c>
      <c r="J64" s="5" t="n">
        <v>47.6</v>
      </c>
      <c r="K64" s="8" t="n">
        <v>15000</v>
      </c>
      <c r="L64" s="6" t="n">
        <v>0</v>
      </c>
      <c r="M64" s="3" t="s">
        <v>134</v>
      </c>
      <c r="N64" s="3" t="str">
        <f aca="false">INDEX('State Mapping'!$B$2:$B$53,MATCH(B64,'State Mapping'!$A$2:$A$53,0))</f>
        <v>Texas</v>
      </c>
      <c r="O64" s="8" t="n">
        <f aca="false">IFERROR(INDEX('State Premium Data'!$D$2:$D$53,MATCH(N64,'State Premium Data'!$A$2:$A$53,0)),"")</f>
        <v>29388</v>
      </c>
      <c r="P64" s="8" t="n">
        <f aca="false">IFERROR(INDEX('State Premium Data'!$C$2:$C$53,MATCH(N64,'State Premium Data'!$A$2:$A$53,0)),"")</f>
        <v>66474</v>
      </c>
      <c r="Q64" s="9" t="n">
        <f aca="false">IFERROR(K64/O64,"")</f>
        <v>0.51041241322989</v>
      </c>
      <c r="R64" s="8" t="n">
        <f aca="false">IFERROR(I64-P64,"")</f>
        <v>-18088</v>
      </c>
      <c r="S64" s="10" t="n">
        <f aca="false">IFERROR(R64/P64,"")</f>
        <v>-0.272106387459759</v>
      </c>
    </row>
    <row r="65" customFormat="false" ht="15" hidden="false" customHeight="true" outlineLevel="0" collapsed="false">
      <c r="A65" s="3" t="s">
        <v>250</v>
      </c>
      <c r="B65" s="3" t="s">
        <v>90</v>
      </c>
      <c r="C65" s="3" t="s">
        <v>251</v>
      </c>
      <c r="D65" s="5" t="n">
        <v>44.5</v>
      </c>
      <c r="E65" s="6" t="n">
        <v>1298</v>
      </c>
      <c r="F65" s="7" t="n">
        <v>11026</v>
      </c>
      <c r="G65" s="8" t="n">
        <v>61740</v>
      </c>
      <c r="H65" s="8" t="n">
        <v>61740</v>
      </c>
      <c r="I65" s="8" t="n">
        <v>68424</v>
      </c>
      <c r="J65" s="5" t="n">
        <v>85.6</v>
      </c>
      <c r="K65" s="8" t="n">
        <v>21500</v>
      </c>
      <c r="L65" s="6" t="n">
        <v>0</v>
      </c>
      <c r="M65" s="3" t="s">
        <v>150</v>
      </c>
      <c r="N65" s="3" t="str">
        <f aca="false">INDEX('State Mapping'!$B$2:$B$53,MATCH(B65,'State Mapping'!$A$2:$A$53,0))</f>
        <v>Texas</v>
      </c>
      <c r="O65" s="8" t="n">
        <f aca="false">IFERROR(INDEX('State Premium Data'!$D$2:$D$53,MATCH(N65,'State Premium Data'!$A$2:$A$53,0)),"")</f>
        <v>29388</v>
      </c>
      <c r="P65" s="8" t="n">
        <f aca="false">IFERROR(INDEX('State Premium Data'!$C$2:$C$53,MATCH(N65,'State Premium Data'!$A$2:$A$53,0)),"")</f>
        <v>66474</v>
      </c>
      <c r="Q65" s="9" t="n">
        <f aca="false">IFERROR(K65/O65,"")</f>
        <v>0.731591125629509</v>
      </c>
      <c r="R65" s="8" t="n">
        <f aca="false">IFERROR(I65-P65,"")</f>
        <v>1950</v>
      </c>
      <c r="S65" s="10" t="n">
        <f aca="false">IFERROR(R65/P65,"")</f>
        <v>0.0293347775069952</v>
      </c>
    </row>
    <row r="66" customFormat="false" ht="15" hidden="false" customHeight="true" outlineLevel="0" collapsed="false">
      <c r="A66" s="3" t="s">
        <v>252</v>
      </c>
      <c r="B66" s="3" t="s">
        <v>42</v>
      </c>
      <c r="C66" s="3" t="s">
        <v>253</v>
      </c>
      <c r="D66" s="5" t="n">
        <v>44.8</v>
      </c>
      <c r="E66" s="6" t="n">
        <v>1473</v>
      </c>
      <c r="F66" s="7" t="n">
        <v>30760</v>
      </c>
      <c r="G66" s="8" t="n">
        <v>11809</v>
      </c>
      <c r="H66" s="8" t="n">
        <v>41186</v>
      </c>
      <c r="I66" s="8" t="n">
        <v>82860</v>
      </c>
      <c r="J66" s="5" t="n">
        <v>88.6</v>
      </c>
      <c r="K66" s="8" t="n">
        <v>19000</v>
      </c>
      <c r="L66" s="6" t="n">
        <v>0</v>
      </c>
      <c r="M66" s="3" t="s">
        <v>134</v>
      </c>
      <c r="N66" s="3" t="str">
        <f aca="false">INDEX('State Mapping'!$B$2:$B$53,MATCH(B66,'State Mapping'!$A$2:$A$53,0))</f>
        <v>Maryland</v>
      </c>
      <c r="O66" s="8" t="n">
        <f aca="false">IFERROR(INDEX('State Premium Data'!$D$2:$D$53,MATCH(N66,'State Premium Data'!$A$2:$A$53,0)),"")</f>
        <v>33970</v>
      </c>
      <c r="P66" s="8" t="n">
        <f aca="false">IFERROR(INDEX('State Premium Data'!$C$2:$C$53,MATCH(N66,'State Premium Data'!$A$2:$A$53,0)),"")</f>
        <v>76748</v>
      </c>
      <c r="Q66" s="9" t="n">
        <f aca="false">IFERROR(K66/O66,"")</f>
        <v>0.559317044450986</v>
      </c>
      <c r="R66" s="8" t="n">
        <f aca="false">IFERROR(I66-P66,"")</f>
        <v>6112</v>
      </c>
      <c r="S66" s="10" t="n">
        <f aca="false">IFERROR(R66/P66,"")</f>
        <v>0.0796372543909939</v>
      </c>
    </row>
    <row r="67" customFormat="false" ht="15" hidden="false" customHeight="true" outlineLevel="0" collapsed="false">
      <c r="A67" s="3" t="s">
        <v>254</v>
      </c>
      <c r="B67" s="3" t="s">
        <v>10</v>
      </c>
      <c r="C67" s="3" t="s">
        <v>162</v>
      </c>
      <c r="D67" s="5" t="n">
        <v>45.1</v>
      </c>
      <c r="E67" s="6" t="n">
        <v>1359</v>
      </c>
      <c r="F67" s="7" t="n">
        <v>7094</v>
      </c>
      <c r="G67" s="8" t="n">
        <v>62357</v>
      </c>
      <c r="H67" s="8" t="n">
        <v>62357</v>
      </c>
      <c r="I67" s="8" t="n">
        <v>78349</v>
      </c>
      <c r="J67" s="5" t="n">
        <v>79.3</v>
      </c>
      <c r="K67" s="8" t="n">
        <v>19500</v>
      </c>
      <c r="L67" s="6" t="n">
        <v>0</v>
      </c>
      <c r="M67" s="3" t="s">
        <v>134</v>
      </c>
      <c r="N67" s="3" t="str">
        <f aca="false">INDEX('State Mapping'!$B$2:$B$53,MATCH(B67,'State Mapping'!$A$2:$A$53,0))</f>
        <v>California</v>
      </c>
      <c r="O67" s="8" t="n">
        <f aca="false">IFERROR(INDEX('State Premium Data'!$D$2:$D$53,MATCH(N67,'State Premium Data'!$A$2:$A$53,0)),"")</f>
        <v>37475</v>
      </c>
      <c r="P67" s="8" t="n">
        <f aca="false">IFERROR(INDEX('State Premium Data'!$C$2:$C$53,MATCH(N67,'State Premium Data'!$A$2:$A$53,0)),"")</f>
        <v>78278</v>
      </c>
      <c r="Q67" s="9" t="n">
        <f aca="false">IFERROR(K67/O67,"")</f>
        <v>0.520346897931955</v>
      </c>
      <c r="R67" s="8" t="n">
        <f aca="false">IFERROR(I67-P67,"")</f>
        <v>71</v>
      </c>
      <c r="S67" s="10" t="n">
        <f aca="false">IFERROR(R67/P67,"")</f>
        <v>0.000907023684815657</v>
      </c>
    </row>
    <row r="68" customFormat="false" ht="15" hidden="false" customHeight="true" outlineLevel="0" collapsed="false">
      <c r="A68" s="3" t="s">
        <v>255</v>
      </c>
      <c r="B68" s="3" t="s">
        <v>100</v>
      </c>
      <c r="C68" s="3" t="s">
        <v>256</v>
      </c>
      <c r="D68" s="5" t="n">
        <v>45.2</v>
      </c>
      <c r="E68" s="6" t="n">
        <v>1427</v>
      </c>
      <c r="F68" s="7" t="n">
        <v>36902</v>
      </c>
      <c r="G68" s="8" t="n">
        <v>11603</v>
      </c>
      <c r="H68" s="8" t="n">
        <v>42103</v>
      </c>
      <c r="I68" s="8" t="n">
        <v>73792</v>
      </c>
      <c r="J68" s="5" t="n">
        <v>89.4</v>
      </c>
      <c r="K68" s="8" t="n">
        <v>20484</v>
      </c>
      <c r="L68" s="6" t="n">
        <v>3</v>
      </c>
      <c r="M68" s="3" t="s">
        <v>150</v>
      </c>
      <c r="N68" s="3" t="str">
        <f aca="false">INDEX('State Mapping'!$B$2:$B$53,MATCH(B68,'State Mapping'!$A$2:$A$53,0))</f>
        <v>Wisconsin</v>
      </c>
      <c r="O68" s="8" t="n">
        <f aca="false">IFERROR(INDEX('State Premium Data'!$D$2:$D$53,MATCH(N68,'State Premium Data'!$A$2:$A$53,0)),"")</f>
        <v>22716</v>
      </c>
      <c r="P68" s="8" t="n">
        <f aca="false">IFERROR(INDEX('State Premium Data'!$C$2:$C$53,MATCH(N68,'State Premium Data'!$A$2:$A$53,0)),"")</f>
        <v>64320</v>
      </c>
      <c r="Q68" s="9" t="n">
        <f aca="false">IFERROR(K68/O68,"")</f>
        <v>0.901743264659271</v>
      </c>
      <c r="R68" s="8" t="n">
        <f aca="false">IFERROR(I68-P68,"")</f>
        <v>9472</v>
      </c>
      <c r="S68" s="10" t="n">
        <f aca="false">IFERROR(R68/P68,"")</f>
        <v>0.14726368159204</v>
      </c>
    </row>
    <row r="69" customFormat="false" ht="15" hidden="false" customHeight="true" outlineLevel="0" collapsed="false">
      <c r="A69" s="3" t="s">
        <v>257</v>
      </c>
      <c r="B69" s="3" t="s">
        <v>4</v>
      </c>
      <c r="C69" s="3" t="s">
        <v>258</v>
      </c>
      <c r="D69" s="5" t="n">
        <v>45.9</v>
      </c>
      <c r="E69" s="6" t="n">
        <v>1345</v>
      </c>
      <c r="F69" s="7" t="n">
        <v>26816</v>
      </c>
      <c r="G69" s="8" t="n">
        <v>12890</v>
      </c>
      <c r="H69" s="8" t="n">
        <v>34922</v>
      </c>
      <c r="I69" s="8" t="n">
        <v>65337</v>
      </c>
      <c r="J69" s="5" t="n">
        <v>80.6</v>
      </c>
      <c r="K69" s="8" t="n">
        <v>21000</v>
      </c>
      <c r="L69" s="6" t="n">
        <v>0</v>
      </c>
      <c r="M69" s="3" t="s">
        <v>134</v>
      </c>
      <c r="N69" s="3" t="str">
        <f aca="false">INDEX('State Mapping'!$B$2:$B$53,MATCH(B69,'State Mapping'!$A$2:$A$53,0))</f>
        <v>Alabama</v>
      </c>
      <c r="O69" s="8" t="n">
        <f aca="false">IFERROR(INDEX('State Premium Data'!$D$2:$D$53,MATCH(N69,'State Premium Data'!$A$2:$A$53,0)),"")</f>
        <v>23541</v>
      </c>
      <c r="P69" s="8" t="n">
        <f aca="false">IFERROR(INDEX('State Premium Data'!$C$2:$C$53,MATCH(N69,'State Premium Data'!$A$2:$A$53,0)),"")</f>
        <v>60156</v>
      </c>
      <c r="Q69" s="9" t="n">
        <f aca="false">IFERROR(K69/O69,"")</f>
        <v>0.892060660124889</v>
      </c>
      <c r="R69" s="8" t="n">
        <f aca="false">IFERROR(I69-P69,"")</f>
        <v>5181</v>
      </c>
      <c r="S69" s="10" t="n">
        <f aca="false">IFERROR(R69/P69,"")</f>
        <v>0.0861260722122482</v>
      </c>
    </row>
    <row r="70" customFormat="false" ht="15" hidden="false" customHeight="true" outlineLevel="0" collapsed="false">
      <c r="A70" s="3" t="s">
        <v>259</v>
      </c>
      <c r="B70" s="3" t="s">
        <v>70</v>
      </c>
      <c r="C70" s="3" t="s">
        <v>260</v>
      </c>
      <c r="D70" s="5" t="n">
        <v>45.9</v>
      </c>
      <c r="E70" s="6" t="n">
        <v>1375</v>
      </c>
      <c r="F70" s="7" t="n">
        <v>15477</v>
      </c>
      <c r="G70" s="8" t="n">
        <v>65528</v>
      </c>
      <c r="H70" s="8" t="n">
        <v>65528</v>
      </c>
      <c r="I70" s="8" t="n">
        <v>79164</v>
      </c>
      <c r="J70" s="5" t="n">
        <v>82.5</v>
      </c>
      <c r="K70" s="8" t="n">
        <v>26000</v>
      </c>
      <c r="L70" s="6" t="n">
        <v>0</v>
      </c>
      <c r="M70" s="3" t="s">
        <v>134</v>
      </c>
      <c r="N70" s="3" t="str">
        <f aca="false">INDEX('State Mapping'!$B$2:$B$53,MATCH(B70,'State Mapping'!$A$2:$A$53,0))</f>
        <v>New York</v>
      </c>
      <c r="O70" s="8" t="n">
        <f aca="false">IFERROR(INDEX('State Premium Data'!$D$2:$D$53,MATCH(N70,'State Premium Data'!$A$2:$A$53,0)),"")</f>
        <v>34733</v>
      </c>
      <c r="P70" s="8" t="n">
        <f aca="false">IFERROR(INDEX('State Premium Data'!$C$2:$C$53,MATCH(N70,'State Premium Data'!$A$2:$A$53,0)),"")</f>
        <v>74504</v>
      </c>
      <c r="Q70" s="9" t="n">
        <f aca="false">IFERROR(K70/O70,"")</f>
        <v>0.748567644603115</v>
      </c>
      <c r="R70" s="8" t="n">
        <f aca="false">IFERROR(I70-P70,"")</f>
        <v>4660</v>
      </c>
      <c r="S70" s="10" t="n">
        <f aca="false">IFERROR(R70/P70,"")</f>
        <v>0.0625469773434983</v>
      </c>
    </row>
    <row r="71" customFormat="false" ht="15" hidden="false" customHeight="true" outlineLevel="0" collapsed="false">
      <c r="A71" s="3" t="s">
        <v>261</v>
      </c>
      <c r="B71" s="3" t="s">
        <v>10</v>
      </c>
      <c r="C71" s="3" t="s">
        <v>262</v>
      </c>
      <c r="D71" s="5" t="n">
        <v>46.3</v>
      </c>
      <c r="E71" s="6"/>
      <c r="F71" s="7" t="n">
        <v>35924</v>
      </c>
      <c r="G71" s="8" t="n">
        <v>7350</v>
      </c>
      <c r="H71" s="8" t="n">
        <v>19950</v>
      </c>
      <c r="I71" s="8" t="n">
        <v>64403</v>
      </c>
      <c r="J71" s="5" t="n">
        <v>69.3</v>
      </c>
      <c r="K71" s="8" t="n">
        <v>14289</v>
      </c>
      <c r="L71" s="6" t="n">
        <v>0</v>
      </c>
      <c r="M71" s="3" t="s">
        <v>134</v>
      </c>
      <c r="N71" s="3" t="str">
        <f aca="false">INDEX('State Mapping'!$B$2:$B$53,MATCH(B71,'State Mapping'!$A$2:$A$53,0))</f>
        <v>California</v>
      </c>
      <c r="O71" s="8" t="n">
        <f aca="false">IFERROR(INDEX('State Premium Data'!$D$2:$D$53,MATCH(N71,'State Premium Data'!$A$2:$A$53,0)),"")</f>
        <v>37475</v>
      </c>
      <c r="P71" s="8" t="n">
        <f aca="false">IFERROR(INDEX('State Premium Data'!$C$2:$C$53,MATCH(N71,'State Premium Data'!$A$2:$A$53,0)),"")</f>
        <v>78278</v>
      </c>
      <c r="Q71" s="9" t="n">
        <f aca="false">IFERROR(K71/O71,"")</f>
        <v>0.381294196130754</v>
      </c>
      <c r="R71" s="8" t="n">
        <f aca="false">IFERROR(I71-P71,"")</f>
        <v>-13875</v>
      </c>
      <c r="S71" s="10" t="n">
        <f aca="false">IFERROR(R71/P71,"")</f>
        <v>-0.177252867983341</v>
      </c>
    </row>
    <row r="72" customFormat="false" ht="15" hidden="false" customHeight="true" outlineLevel="0" collapsed="false">
      <c r="A72" s="3" t="s">
        <v>263</v>
      </c>
      <c r="B72" s="3" t="s">
        <v>16</v>
      </c>
      <c r="C72" s="3" t="s">
        <v>99</v>
      </c>
      <c r="D72" s="5" t="n">
        <v>47.1</v>
      </c>
      <c r="E72" s="6" t="n">
        <v>1433</v>
      </c>
      <c r="F72" s="7" t="n">
        <v>11182</v>
      </c>
      <c r="G72" s="8" t="n">
        <v>67710</v>
      </c>
      <c r="H72" s="8" t="n">
        <v>67710</v>
      </c>
      <c r="I72" s="8" t="n">
        <v>90873</v>
      </c>
      <c r="J72" s="5" t="n">
        <v>84.5</v>
      </c>
      <c r="K72" s="8" t="n">
        <v>20449</v>
      </c>
      <c r="L72" s="6" t="n">
        <v>0</v>
      </c>
      <c r="M72" s="3" t="s">
        <v>134</v>
      </c>
      <c r="N72" s="3" t="str">
        <f aca="false">INDEX('State Mapping'!$B$2:$B$53,MATCH(B72,'State Mapping'!$A$2:$A$53,0))</f>
        <v>District of Columbia</v>
      </c>
      <c r="O72" s="8" t="n">
        <f aca="false">IFERROR(INDEX('State Premium Data'!$D$2:$D$53,MATCH(N72,'State Premium Data'!$A$2:$A$53,0)),"")</f>
        <v>54913</v>
      </c>
      <c r="P72" s="8" t="n">
        <f aca="false">IFERROR(INDEX('State Premium Data'!$C$2:$C$53,MATCH(N72,'State Premium Data'!$A$2:$A$53,0)),"")</f>
        <v>95628</v>
      </c>
      <c r="Q72" s="9" t="n">
        <f aca="false">IFERROR(K72/O72,"")</f>
        <v>0.372389051772804</v>
      </c>
      <c r="R72" s="8" t="n">
        <f aca="false">IFERROR(I72-P72,"")</f>
        <v>-4755</v>
      </c>
      <c r="S72" s="10" t="n">
        <f aca="false">IFERROR(R72/P72,"")</f>
        <v>-0.0497239302296399</v>
      </c>
    </row>
    <row r="73" customFormat="false" ht="15" hidden="false" customHeight="true" outlineLevel="0" collapsed="false">
      <c r="A73" s="3" t="s">
        <v>264</v>
      </c>
      <c r="B73" s="3" t="s">
        <v>70</v>
      </c>
      <c r="C73" s="3" t="s">
        <v>71</v>
      </c>
      <c r="D73" s="5" t="n">
        <v>47.5</v>
      </c>
      <c r="E73" s="6" t="n">
        <v>1280</v>
      </c>
      <c r="F73" s="7" t="n">
        <v>16154</v>
      </c>
      <c r="G73" s="8" t="n">
        <v>7464</v>
      </c>
      <c r="H73" s="8" t="n">
        <v>15414</v>
      </c>
      <c r="I73" s="8" t="n">
        <v>75971</v>
      </c>
      <c r="J73" s="5" t="n">
        <v>72.1</v>
      </c>
      <c r="K73" s="8" t="n">
        <v>11512</v>
      </c>
      <c r="L73" s="6" t="n">
        <v>0</v>
      </c>
      <c r="M73" s="3" t="s">
        <v>134</v>
      </c>
      <c r="N73" s="3" t="str">
        <f aca="false">INDEX('State Mapping'!$B$2:$B$53,MATCH(B73,'State Mapping'!$A$2:$A$53,0))</f>
        <v>New York</v>
      </c>
      <c r="O73" s="8" t="n">
        <f aca="false">IFERROR(INDEX('State Premium Data'!$D$2:$D$53,MATCH(N73,'State Premium Data'!$A$2:$A$53,0)),"")</f>
        <v>34733</v>
      </c>
      <c r="P73" s="8" t="n">
        <f aca="false">IFERROR(INDEX('State Premium Data'!$C$2:$C$53,MATCH(N73,'State Premium Data'!$A$2:$A$53,0)),"")</f>
        <v>74504</v>
      </c>
      <c r="Q73" s="9" t="n">
        <f aca="false">IFERROR(K73/O73,"")</f>
        <v>0.331442720179656</v>
      </c>
      <c r="R73" s="8" t="n">
        <f aca="false">IFERROR(I73-P73,"")</f>
        <v>1467</v>
      </c>
      <c r="S73" s="10" t="n">
        <f aca="false">IFERROR(R73/P73,"")</f>
        <v>0.0196902179748738</v>
      </c>
    </row>
    <row r="74" customFormat="false" ht="15" hidden="false" customHeight="true" outlineLevel="0" collapsed="false">
      <c r="A74" s="3" t="s">
        <v>265</v>
      </c>
      <c r="B74" s="3" t="s">
        <v>10</v>
      </c>
      <c r="C74" s="3" t="s">
        <v>266</v>
      </c>
      <c r="D74" s="5" t="n">
        <v>48</v>
      </c>
      <c r="E74" s="6" t="n">
        <v>1426</v>
      </c>
      <c r="F74" s="7" t="n">
        <v>6552</v>
      </c>
      <c r="G74" s="8" t="n">
        <v>61293</v>
      </c>
      <c r="H74" s="8" t="n">
        <v>61293</v>
      </c>
      <c r="I74" s="8" t="n">
        <v>109183</v>
      </c>
      <c r="J74" s="5" t="n">
        <v>88.2</v>
      </c>
      <c r="K74" s="8" t="n">
        <v>19162</v>
      </c>
      <c r="L74" s="6" t="n">
        <v>0</v>
      </c>
      <c r="M74" s="3" t="s">
        <v>150</v>
      </c>
      <c r="N74" s="3" t="str">
        <f aca="false">INDEX('State Mapping'!$B$2:$B$53,MATCH(B74,'State Mapping'!$A$2:$A$53,0))</f>
        <v>California</v>
      </c>
      <c r="O74" s="8" t="n">
        <f aca="false">IFERROR(INDEX('State Premium Data'!$D$2:$D$53,MATCH(N74,'State Premium Data'!$A$2:$A$53,0)),"")</f>
        <v>37475</v>
      </c>
      <c r="P74" s="8" t="n">
        <f aca="false">IFERROR(INDEX('State Premium Data'!$C$2:$C$53,MATCH(N74,'State Premium Data'!$A$2:$A$53,0)),"")</f>
        <v>78278</v>
      </c>
      <c r="Q74" s="9" t="n">
        <f aca="false">IFERROR(K74/O74,"")</f>
        <v>0.511327551701134</v>
      </c>
      <c r="R74" s="8" t="n">
        <f aca="false">IFERROR(I74-P74,"")</f>
        <v>30905</v>
      </c>
      <c r="S74" s="10" t="n">
        <f aca="false">IFERROR(R74/P74,"")</f>
        <v>0.394810802524336</v>
      </c>
    </row>
    <row r="75" customFormat="false" ht="15" hidden="false" customHeight="true" outlineLevel="0" collapsed="false">
      <c r="A75" s="3" t="s">
        <v>267</v>
      </c>
      <c r="B75" s="3" t="s">
        <v>70</v>
      </c>
      <c r="C75" s="3" t="s">
        <v>268</v>
      </c>
      <c r="D75" s="5" t="n">
        <v>49</v>
      </c>
      <c r="E75" s="6" t="n">
        <v>1419</v>
      </c>
      <c r="F75" s="7" t="n">
        <v>18101</v>
      </c>
      <c r="G75" s="8" t="n">
        <v>10931</v>
      </c>
      <c r="H75" s="8" t="n">
        <v>32741</v>
      </c>
      <c r="I75" s="8" t="n">
        <v>74502</v>
      </c>
      <c r="J75" s="5" t="n">
        <v>76.7</v>
      </c>
      <c r="K75" s="8" t="n">
        <v>18228</v>
      </c>
      <c r="L75" s="6" t="n">
        <v>0</v>
      </c>
      <c r="M75" s="3" t="s">
        <v>134</v>
      </c>
      <c r="N75" s="3" t="str">
        <f aca="false">INDEX('State Mapping'!$B$2:$B$53,MATCH(B75,'State Mapping'!$A$2:$A$53,0))</f>
        <v>New York</v>
      </c>
      <c r="O75" s="8" t="n">
        <f aca="false">IFERROR(INDEX('State Premium Data'!$D$2:$D$53,MATCH(N75,'State Premium Data'!$A$2:$A$53,0)),"")</f>
        <v>34733</v>
      </c>
      <c r="P75" s="8" t="n">
        <f aca="false">IFERROR(INDEX('State Premium Data'!$C$2:$C$53,MATCH(N75,'State Premium Data'!$A$2:$A$53,0)),"")</f>
        <v>74504</v>
      </c>
      <c r="Q75" s="9" t="n">
        <f aca="false">IFERROR(K75/O75,"")</f>
        <v>0.524803500993292</v>
      </c>
      <c r="R75" s="8" t="n">
        <f aca="false">IFERROR(I75-P75,"")</f>
        <v>-2</v>
      </c>
      <c r="S75" s="10" t="n">
        <f aca="false">IFERROR(R75/P75,"")</f>
        <v>-2.68441962847632E-005</v>
      </c>
    </row>
    <row r="76" customFormat="false" ht="15" hidden="false" customHeight="true" outlineLevel="0" collapsed="false">
      <c r="A76" s="3" t="s">
        <v>269</v>
      </c>
      <c r="B76" s="3" t="s">
        <v>32</v>
      </c>
      <c r="C76" s="3" t="s">
        <v>270</v>
      </c>
      <c r="D76" s="5" t="n">
        <v>49.9</v>
      </c>
      <c r="E76" s="6" t="n">
        <v>1364</v>
      </c>
      <c r="F76" s="7" t="n">
        <v>44503</v>
      </c>
      <c r="G76" s="8" t="n">
        <v>9992</v>
      </c>
      <c r="H76" s="8" t="n">
        <v>28794</v>
      </c>
      <c r="I76" s="8" t="n">
        <v>72424</v>
      </c>
      <c r="J76" s="5" t="n">
        <v>83.1</v>
      </c>
      <c r="K76" s="8" t="n">
        <v>19500</v>
      </c>
      <c r="L76" s="6" t="n">
        <v>2</v>
      </c>
      <c r="M76" s="3" t="s">
        <v>150</v>
      </c>
      <c r="N76" s="3" t="str">
        <f aca="false">INDEX('State Mapping'!$B$2:$B$53,MATCH(B76,'State Mapping'!$A$2:$A$53,0))</f>
        <v>Indiana</v>
      </c>
      <c r="O76" s="8" t="n">
        <f aca="false">IFERROR(INDEX('State Premium Data'!$D$2:$D$53,MATCH(N76,'State Premium Data'!$A$2:$A$53,0)),"")</f>
        <v>21077</v>
      </c>
      <c r="P76" s="8" t="n">
        <f aca="false">IFERROR(INDEX('State Premium Data'!$C$2:$C$53,MATCH(N76,'State Premium Data'!$A$2:$A$53,0)),"")</f>
        <v>60573</v>
      </c>
      <c r="Q76" s="9" t="n">
        <f aca="false">IFERROR(K76/O76,"")</f>
        <v>0.925179105185748</v>
      </c>
      <c r="R76" s="8" t="n">
        <f aca="false">IFERROR(I76-P76,"")</f>
        <v>11851</v>
      </c>
      <c r="S76" s="10" t="n">
        <f aca="false">IFERROR(R76/P76,"")</f>
        <v>0.195648226107342</v>
      </c>
    </row>
    <row r="77" customFormat="false" ht="15" hidden="false" customHeight="true" outlineLevel="0" collapsed="false">
      <c r="A77" s="3" t="s">
        <v>271</v>
      </c>
      <c r="B77" s="3" t="s">
        <v>56</v>
      </c>
      <c r="C77" s="3" t="s">
        <v>272</v>
      </c>
      <c r="D77" s="5" t="n">
        <v>49.9</v>
      </c>
      <c r="E77" s="6" t="n">
        <v>1074</v>
      </c>
      <c r="F77" s="7" t="n">
        <v>12182</v>
      </c>
      <c r="G77" s="8" t="n">
        <v>6813</v>
      </c>
      <c r="H77" s="8" t="n">
        <v>20673</v>
      </c>
      <c r="I77" s="8" t="n">
        <v>44440</v>
      </c>
      <c r="J77" s="5" t="n">
        <v>56.2</v>
      </c>
      <c r="K77" s="8" t="n">
        <v>27000</v>
      </c>
      <c r="L77" s="6" t="n">
        <v>0</v>
      </c>
      <c r="M77" s="3" t="s">
        <v>134</v>
      </c>
      <c r="N77" s="3" t="str">
        <f aca="false">INDEX('State Mapping'!$B$2:$B$53,MATCH(B77,'State Mapping'!$A$2:$A$53,0))</f>
        <v>North Carolina</v>
      </c>
      <c r="O77" s="8" t="n">
        <f aca="false">IFERROR(INDEX('State Premium Data'!$D$2:$D$53,MATCH(N77,'State Premium Data'!$A$2:$A$53,0)),"")</f>
        <v>25615</v>
      </c>
      <c r="P77" s="8" t="n">
        <f aca="false">IFERROR(INDEX('State Premium Data'!$C$2:$C$53,MATCH(N77,'State Premium Data'!$A$2:$A$53,0)),"")</f>
        <v>62338</v>
      </c>
      <c r="Q77" s="9" t="n">
        <f aca="false">IFERROR(K77/O77,"")</f>
        <v>1.05406988092914</v>
      </c>
      <c r="R77" s="8" t="n">
        <f aca="false">IFERROR(I77-P77,"")</f>
        <v>-17898</v>
      </c>
      <c r="S77" s="10" t="n">
        <f aca="false">IFERROR(R77/P77,"")</f>
        <v>-0.287112194808945</v>
      </c>
    </row>
    <row r="78" customFormat="false" ht="15" hidden="false" customHeight="true" outlineLevel="0" collapsed="false">
      <c r="A78" s="3" t="s">
        <v>273</v>
      </c>
      <c r="B78" s="3" t="s">
        <v>90</v>
      </c>
      <c r="C78" s="3" t="s">
        <v>274</v>
      </c>
      <c r="D78" s="5" t="n">
        <v>51.3</v>
      </c>
      <c r="E78" s="6" t="n">
        <v>1329</v>
      </c>
      <c r="F78" s="7" t="n">
        <v>14785</v>
      </c>
      <c r="G78" s="8" t="n">
        <v>58100</v>
      </c>
      <c r="H78" s="8" t="n">
        <v>58100</v>
      </c>
      <c r="I78" s="8" t="n">
        <v>65793</v>
      </c>
      <c r="J78" s="5" t="n">
        <v>80.1</v>
      </c>
      <c r="K78" s="8" t="n">
        <v>23000</v>
      </c>
      <c r="L78" s="6" t="n">
        <v>0</v>
      </c>
      <c r="M78" s="3" t="s">
        <v>134</v>
      </c>
      <c r="N78" s="3" t="str">
        <f aca="false">INDEX('State Mapping'!$B$2:$B$53,MATCH(B78,'State Mapping'!$A$2:$A$53,0))</f>
        <v>Texas</v>
      </c>
      <c r="O78" s="8" t="n">
        <f aca="false">IFERROR(INDEX('State Premium Data'!$D$2:$D$53,MATCH(N78,'State Premium Data'!$A$2:$A$53,0)),"")</f>
        <v>29388</v>
      </c>
      <c r="P78" s="8" t="n">
        <f aca="false">IFERROR(INDEX('State Premium Data'!$C$2:$C$53,MATCH(N78,'State Premium Data'!$A$2:$A$53,0)),"")</f>
        <v>66474</v>
      </c>
      <c r="Q78" s="9" t="n">
        <f aca="false">IFERROR(K78/O78,"")</f>
        <v>0.782632366952498</v>
      </c>
      <c r="R78" s="8" t="n">
        <f aca="false">IFERROR(I78-P78,"")</f>
        <v>-681</v>
      </c>
      <c r="S78" s="10" t="n">
        <f aca="false">IFERROR(R78/P78,"")</f>
        <v>-0.0102446069139814</v>
      </c>
    </row>
    <row r="79" customFormat="false" ht="15" hidden="false" customHeight="true" outlineLevel="0" collapsed="false">
      <c r="A79" s="3" t="s">
        <v>275</v>
      </c>
      <c r="B79" s="3" t="s">
        <v>22</v>
      </c>
      <c r="C79" s="3" t="s">
        <v>276</v>
      </c>
      <c r="D79" s="5" t="n">
        <v>51.6</v>
      </c>
      <c r="E79" s="6" t="n">
        <v>1032</v>
      </c>
      <c r="F79" s="7" t="n">
        <v>7520</v>
      </c>
      <c r="G79" s="8" t="n">
        <v>6088</v>
      </c>
      <c r="H79" s="8" t="n">
        <v>17800</v>
      </c>
      <c r="I79" s="8" t="n">
        <v>49587</v>
      </c>
      <c r="J79" s="5" t="n">
        <v>43.1</v>
      </c>
      <c r="K79" s="8" t="n">
        <v>23970</v>
      </c>
      <c r="L79" s="6" t="n">
        <v>0</v>
      </c>
      <c r="M79" s="3" t="s">
        <v>134</v>
      </c>
      <c r="N79" s="3" t="str">
        <f aca="false">INDEX('State Mapping'!$B$2:$B$53,MATCH(B79,'State Mapping'!$A$2:$A$53,0))</f>
        <v>Georgia</v>
      </c>
      <c r="O79" s="8" t="n">
        <f aca="false">IFERROR(INDEX('State Premium Data'!$D$2:$D$53,MATCH(N79,'State Premium Data'!$A$2:$A$53,0)),"")</f>
        <v>27365</v>
      </c>
      <c r="P79" s="8" t="n">
        <f aca="false">IFERROR(INDEX('State Premium Data'!$C$2:$C$53,MATCH(N79,'State Premium Data'!$A$2:$A$53,0)),"")</f>
        <v>64185</v>
      </c>
      <c r="Q79" s="9" t="n">
        <f aca="false">IFERROR(K79/O79,"")</f>
        <v>0.875936415128814</v>
      </c>
      <c r="R79" s="8" t="n">
        <f aca="false">IFERROR(I79-P79,"")</f>
        <v>-14598</v>
      </c>
      <c r="S79" s="10" t="n">
        <f aca="false">IFERROR(R79/P79,"")</f>
        <v>-0.227436316896471</v>
      </c>
    </row>
    <row r="80" customFormat="false" ht="15" hidden="false" customHeight="true" outlineLevel="0" collapsed="false">
      <c r="A80" s="3" t="s">
        <v>277</v>
      </c>
      <c r="B80" s="3" t="s">
        <v>10</v>
      </c>
      <c r="C80" s="3" t="s">
        <v>220</v>
      </c>
      <c r="D80" s="5" t="n">
        <v>52.4</v>
      </c>
      <c r="E80" s="6"/>
      <c r="F80" s="7" t="n">
        <v>5671</v>
      </c>
      <c r="G80" s="8" t="n">
        <v>59486</v>
      </c>
      <c r="H80" s="8" t="n">
        <v>59486</v>
      </c>
      <c r="I80" s="8" t="n">
        <v>86522</v>
      </c>
      <c r="J80" s="5" t="n">
        <v>82.7</v>
      </c>
      <c r="K80" s="8" t="n">
        <v>22940</v>
      </c>
      <c r="L80" s="6" t="n">
        <v>0</v>
      </c>
      <c r="M80" s="3" t="s">
        <v>134</v>
      </c>
      <c r="N80" s="3" t="str">
        <f aca="false">INDEX('State Mapping'!$B$2:$B$53,MATCH(B80,'State Mapping'!$A$2:$A$53,0))</f>
        <v>California</v>
      </c>
      <c r="O80" s="8" t="n">
        <f aca="false">IFERROR(INDEX('State Premium Data'!$D$2:$D$53,MATCH(N80,'State Premium Data'!$A$2:$A$53,0)),"")</f>
        <v>37475</v>
      </c>
      <c r="P80" s="8" t="n">
        <f aca="false">IFERROR(INDEX('State Premium Data'!$C$2:$C$53,MATCH(N80,'State Premium Data'!$A$2:$A$53,0)),"")</f>
        <v>78278</v>
      </c>
      <c r="Q80" s="9" t="n">
        <f aca="false">IFERROR(K80/O80,"")</f>
        <v>0.612141427618412</v>
      </c>
      <c r="R80" s="8" t="n">
        <f aca="false">IFERROR(I80-P80,"")</f>
        <v>8244</v>
      </c>
      <c r="S80" s="10" t="n">
        <f aca="false">IFERROR(R80/P80,"")</f>
        <v>0.105316947290426</v>
      </c>
    </row>
    <row r="81" customFormat="false" ht="15" hidden="false" customHeight="true" outlineLevel="0" collapsed="false">
      <c r="A81" s="3" t="s">
        <v>278</v>
      </c>
      <c r="B81" s="3" t="s">
        <v>14</v>
      </c>
      <c r="C81" s="3" t="s">
        <v>279</v>
      </c>
      <c r="D81" s="5" t="n">
        <v>52.4</v>
      </c>
      <c r="E81" s="6" t="n">
        <v>1348</v>
      </c>
      <c r="F81" s="7" t="n">
        <v>19835</v>
      </c>
      <c r="G81" s="8" t="n">
        <v>21044</v>
      </c>
      <c r="H81" s="8" t="n">
        <v>43712</v>
      </c>
      <c r="I81" s="8" t="n">
        <v>73997</v>
      </c>
      <c r="J81" s="5" t="n">
        <v>83.5</v>
      </c>
      <c r="K81" s="8" t="n">
        <v>21500</v>
      </c>
      <c r="L81" s="6" t="n">
        <v>0</v>
      </c>
      <c r="M81" s="3" t="s">
        <v>150</v>
      </c>
      <c r="N81" s="3" t="str">
        <f aca="false">INDEX('State Mapping'!$B$2:$B$53,MATCH(B81,'State Mapping'!$A$2:$A$53,0))</f>
        <v>Connecticut</v>
      </c>
      <c r="O81" s="8" t="n">
        <f aca="false">IFERROR(INDEX('State Premium Data'!$D$2:$D$53,MATCH(N81,'State Premium Data'!$A$2:$A$53,0)),"")</f>
        <v>33855</v>
      </c>
      <c r="P81" s="8" t="n">
        <f aca="false">IFERROR(INDEX('State Premium Data'!$C$2:$C$53,MATCH(N81,'State Premium Data'!$A$2:$A$53,0)),"")</f>
        <v>75975</v>
      </c>
      <c r="Q81" s="9" t="n">
        <f aca="false">IFERROR(K81/O81,"")</f>
        <v>0.635061290798996</v>
      </c>
      <c r="R81" s="8" t="n">
        <f aca="false">IFERROR(I81-P81,"")</f>
        <v>-1978</v>
      </c>
      <c r="S81" s="10" t="n">
        <f aca="false">IFERROR(R81/P81,"")</f>
        <v>-0.0260348798947022</v>
      </c>
    </row>
    <row r="82" customFormat="false" ht="15" hidden="false" customHeight="true" outlineLevel="0" collapsed="false">
      <c r="A82" s="3" t="s">
        <v>280</v>
      </c>
      <c r="B82" s="3" t="s">
        <v>20</v>
      </c>
      <c r="C82" s="3" t="s">
        <v>281</v>
      </c>
      <c r="D82" s="5" t="n">
        <v>53.2</v>
      </c>
      <c r="E82" s="6" t="n">
        <v>1153</v>
      </c>
      <c r="F82" s="7" t="n">
        <v>13359</v>
      </c>
      <c r="G82" s="8" t="n">
        <v>6389</v>
      </c>
      <c r="H82" s="8" t="n">
        <v>20793</v>
      </c>
      <c r="I82" s="8" t="n">
        <v>56343</v>
      </c>
      <c r="J82" s="5" t="n">
        <v>68.7</v>
      </c>
      <c r="K82" s="8" t="n">
        <v>15531</v>
      </c>
      <c r="L82" s="6" t="n">
        <v>0</v>
      </c>
      <c r="M82" s="3" t="s">
        <v>134</v>
      </c>
      <c r="N82" s="3" t="str">
        <f aca="false">INDEX('State Mapping'!$B$2:$B$53,MATCH(B82,'State Mapping'!$A$2:$A$53,0))</f>
        <v>Florida</v>
      </c>
      <c r="O82" s="8" t="n">
        <f aca="false">IFERROR(INDEX('State Premium Data'!$D$2:$D$53,MATCH(N82,'State Premium Data'!$A$2:$A$53,0)),"")</f>
        <v>21625</v>
      </c>
      <c r="P82" s="8" t="n">
        <f aca="false">IFERROR(INDEX('State Premium Data'!$C$2:$C$53,MATCH(N82,'State Premium Data'!$A$2:$A$53,0)),"")</f>
        <v>58009</v>
      </c>
      <c r="Q82" s="9" t="n">
        <f aca="false">IFERROR(K82/O82,"")</f>
        <v>0.718196531791908</v>
      </c>
      <c r="R82" s="8" t="n">
        <f aca="false">IFERROR(I82-P82,"")</f>
        <v>-1666</v>
      </c>
      <c r="S82" s="10" t="n">
        <f aca="false">IFERROR(R82/P82,"")</f>
        <v>-0.0287196814287438</v>
      </c>
    </row>
    <row r="83" customFormat="false" ht="15" hidden="false" customHeight="true" outlineLevel="0" collapsed="false">
      <c r="A83" s="3" t="s">
        <v>282</v>
      </c>
      <c r="B83" s="3" t="s">
        <v>70</v>
      </c>
      <c r="C83" s="3" t="s">
        <v>71</v>
      </c>
      <c r="D83" s="5" t="n">
        <v>53.8</v>
      </c>
      <c r="E83" s="6" t="n">
        <v>1280</v>
      </c>
      <c r="F83" s="7" t="n">
        <v>16289</v>
      </c>
      <c r="G83" s="8" t="n">
        <v>7382</v>
      </c>
      <c r="H83" s="8" t="n">
        <v>15332</v>
      </c>
      <c r="I83" s="8" t="n">
        <v>63163</v>
      </c>
      <c r="J83" s="5" t="n">
        <v>58.8</v>
      </c>
      <c r="K83" s="8" t="n">
        <v>11000</v>
      </c>
      <c r="L83" s="6" t="n">
        <v>0</v>
      </c>
      <c r="M83" s="3" t="s">
        <v>134</v>
      </c>
      <c r="N83" s="3" t="str">
        <f aca="false">INDEX('State Mapping'!$B$2:$B$53,MATCH(B83,'State Mapping'!$A$2:$A$53,0))</f>
        <v>New York</v>
      </c>
      <c r="O83" s="8" t="n">
        <f aca="false">IFERROR(INDEX('State Premium Data'!$D$2:$D$53,MATCH(N83,'State Premium Data'!$A$2:$A$53,0)),"")</f>
        <v>34733</v>
      </c>
      <c r="P83" s="8" t="n">
        <f aca="false">IFERROR(INDEX('State Premium Data'!$C$2:$C$53,MATCH(N83,'State Premium Data'!$A$2:$A$53,0)),"")</f>
        <v>74504</v>
      </c>
      <c r="Q83" s="9" t="n">
        <f aca="false">IFERROR(K83/O83,"")</f>
        <v>0.316701695793626</v>
      </c>
      <c r="R83" s="8" t="n">
        <f aca="false">IFERROR(I83-P83,"")</f>
        <v>-11341</v>
      </c>
      <c r="S83" s="10" t="n">
        <f aca="false">IFERROR(R83/P83,"")</f>
        <v>-0.15222001503275</v>
      </c>
    </row>
    <row r="84" customFormat="false" ht="15" hidden="false" customHeight="true" outlineLevel="0" collapsed="false">
      <c r="A84" s="3" t="s">
        <v>283</v>
      </c>
      <c r="B84" s="3" t="s">
        <v>80</v>
      </c>
      <c r="C84" s="3" t="s">
        <v>284</v>
      </c>
      <c r="D84" s="5" t="n">
        <v>54.6</v>
      </c>
      <c r="E84" s="6"/>
      <c r="F84" s="7" t="n">
        <v>8572</v>
      </c>
      <c r="G84" s="8" t="n">
        <v>5354</v>
      </c>
      <c r="H84" s="8" t="n">
        <v>5354</v>
      </c>
      <c r="I84" s="8" t="n">
        <v>35723</v>
      </c>
      <c r="J84" s="5" t="n">
        <v>51.4</v>
      </c>
      <c r="K84" s="8" t="n">
        <v>5500</v>
      </c>
      <c r="L84" s="6" t="n">
        <v>0</v>
      </c>
      <c r="M84" s="3" t="s">
        <v>134</v>
      </c>
      <c r="N84" s="3" t="str">
        <f aca="false">INDEX('State Mapping'!$B$2:$B$53,MATCH(B84,'State Mapping'!$A$2:$A$53,0))</f>
        <v>Puerto Rico</v>
      </c>
      <c r="O84" s="8" t="n">
        <f aca="false">IFERROR(INDEX('State Premium Data'!$D$2:$D$53,MATCH(N84,'State Premium Data'!$A$2:$A$53,0)),"")</f>
        <v>13605</v>
      </c>
      <c r="P84" s="8" t="n">
        <f aca="false">IFERROR(INDEX('State Premium Data'!$C$2:$C$53,MATCH(N84,'State Premium Data'!$A$2:$A$53,0)),"")</f>
        <v>30562</v>
      </c>
      <c r="Q84" s="9" t="n">
        <f aca="false">IFERROR(K84/O84,"")</f>
        <v>0.404263138552003</v>
      </c>
      <c r="R84" s="8" t="n">
        <f aca="false">IFERROR(I84-P84,"")</f>
        <v>5161</v>
      </c>
      <c r="S84" s="10" t="n">
        <f aca="false">IFERROR(R84/P84,"")</f>
        <v>0.168869838361364</v>
      </c>
    </row>
    <row r="85" customFormat="false" ht="15" hidden="false" customHeight="true" outlineLevel="0" collapsed="false">
      <c r="A85" s="3" t="s">
        <v>285</v>
      </c>
      <c r="B85" s="3" t="s">
        <v>20</v>
      </c>
      <c r="C85" s="3" t="s">
        <v>286</v>
      </c>
      <c r="D85" s="5" t="n">
        <v>54.7</v>
      </c>
      <c r="E85" s="6" t="n">
        <v>1163</v>
      </c>
      <c r="F85" s="7" t="n">
        <v>39508</v>
      </c>
      <c r="G85" s="8" t="n">
        <v>6565</v>
      </c>
      <c r="H85" s="8" t="n">
        <v>18964</v>
      </c>
      <c r="I85" s="8" t="n">
        <v>60249</v>
      </c>
      <c r="J85" s="5" t="n">
        <v>74.2</v>
      </c>
      <c r="K85" s="8" t="n">
        <v>16500</v>
      </c>
      <c r="L85" s="6" t="n">
        <v>0</v>
      </c>
      <c r="M85" s="3" t="s">
        <v>134</v>
      </c>
      <c r="N85" s="3" t="str">
        <f aca="false">INDEX('State Mapping'!$B$2:$B$53,MATCH(B85,'State Mapping'!$A$2:$A$53,0))</f>
        <v>Florida</v>
      </c>
      <c r="O85" s="8" t="n">
        <f aca="false">IFERROR(INDEX('State Premium Data'!$D$2:$D$53,MATCH(N85,'State Premium Data'!$A$2:$A$53,0)),"")</f>
        <v>21625</v>
      </c>
      <c r="P85" s="8" t="n">
        <f aca="false">IFERROR(INDEX('State Premium Data'!$C$2:$C$53,MATCH(N85,'State Premium Data'!$A$2:$A$53,0)),"")</f>
        <v>58009</v>
      </c>
      <c r="Q85" s="9" t="n">
        <f aca="false">IFERROR(K85/O85,"")</f>
        <v>0.763005780346821</v>
      </c>
      <c r="R85" s="8" t="n">
        <f aca="false">IFERROR(I85-P85,"")</f>
        <v>2240</v>
      </c>
      <c r="S85" s="10" t="n">
        <f aca="false">IFERROR(R85/P85,"")</f>
        <v>0.0386146977193194</v>
      </c>
    </row>
    <row r="86" customFormat="false" ht="15" hidden="false" customHeight="true" outlineLevel="0" collapsed="false">
      <c r="A86" s="3" t="s">
        <v>287</v>
      </c>
      <c r="B86" s="3" t="s">
        <v>94</v>
      </c>
      <c r="C86" s="3" t="s">
        <v>288</v>
      </c>
      <c r="D86" s="5" t="n">
        <v>54.8</v>
      </c>
      <c r="E86" s="6" t="n">
        <v>1364</v>
      </c>
      <c r="F86" s="7" t="n">
        <v>30923</v>
      </c>
      <c r="G86" s="8" t="n">
        <v>15948</v>
      </c>
      <c r="H86" s="8" t="n">
        <v>37764</v>
      </c>
      <c r="I86" s="8" t="n">
        <v>81698</v>
      </c>
      <c r="J86" s="5" t="n">
        <v>86.2</v>
      </c>
      <c r="K86" s="8" t="n">
        <v>21500</v>
      </c>
      <c r="L86" s="6" t="n">
        <v>0</v>
      </c>
      <c r="M86" s="3" t="s">
        <v>134</v>
      </c>
      <c r="N86" s="3" t="str">
        <f aca="false">INDEX('State Mapping'!$B$2:$B$53,MATCH(B86,'State Mapping'!$A$2:$A$53,0))</f>
        <v>Virginia</v>
      </c>
      <c r="O86" s="8" t="n">
        <f aca="false">IFERROR(INDEX('State Premium Data'!$D$2:$D$53,MATCH(N86,'State Premium Data'!$A$2:$A$53,0)),"")</f>
        <v>33407</v>
      </c>
      <c r="P86" s="8" t="n">
        <f aca="false">IFERROR(INDEX('State Premium Data'!$C$2:$C$53,MATCH(N86,'State Premium Data'!$A$2:$A$53,0)),"")</f>
        <v>74468</v>
      </c>
      <c r="Q86" s="9" t="n">
        <f aca="false">IFERROR(K86/O86,"")</f>
        <v>0.643577693297812</v>
      </c>
      <c r="R86" s="8" t="n">
        <f aca="false">IFERROR(I86-P86,"")</f>
        <v>7230</v>
      </c>
      <c r="S86" s="10" t="n">
        <f aca="false">IFERROR(R86/P86,"")</f>
        <v>0.0970886823870656</v>
      </c>
    </row>
    <row r="87" customFormat="false" ht="15" hidden="false" customHeight="true" outlineLevel="0" collapsed="false">
      <c r="A87" s="3" t="s">
        <v>289</v>
      </c>
      <c r="B87" s="3" t="s">
        <v>22</v>
      </c>
      <c r="C87" s="3" t="s">
        <v>166</v>
      </c>
      <c r="D87" s="5" t="n">
        <v>55.4</v>
      </c>
      <c r="E87" s="6" t="n">
        <v>1076</v>
      </c>
      <c r="F87" s="7" t="n">
        <v>26623</v>
      </c>
      <c r="G87" s="8" t="n">
        <v>8664</v>
      </c>
      <c r="H87" s="8" t="n">
        <v>24840</v>
      </c>
      <c r="I87" s="8" t="n">
        <v>47384</v>
      </c>
      <c r="J87" s="5" t="n">
        <v>53.4</v>
      </c>
      <c r="K87" s="8" t="n">
        <v>20903</v>
      </c>
      <c r="L87" s="6" t="n">
        <v>0</v>
      </c>
      <c r="M87" s="3" t="s">
        <v>134</v>
      </c>
      <c r="N87" s="3" t="str">
        <f aca="false">INDEX('State Mapping'!$B$2:$B$53,MATCH(B87,'State Mapping'!$A$2:$A$53,0))</f>
        <v>Georgia</v>
      </c>
      <c r="O87" s="8" t="n">
        <f aca="false">IFERROR(INDEX('State Premium Data'!$D$2:$D$53,MATCH(N87,'State Premium Data'!$A$2:$A$53,0)),"")</f>
        <v>27365</v>
      </c>
      <c r="P87" s="8" t="n">
        <f aca="false">IFERROR(INDEX('State Premium Data'!$C$2:$C$53,MATCH(N87,'State Premium Data'!$A$2:$A$53,0)),"")</f>
        <v>64185</v>
      </c>
      <c r="Q87" s="9" t="n">
        <f aca="false">IFERROR(K87/O87,"")</f>
        <v>0.76385894390645</v>
      </c>
      <c r="R87" s="8" t="n">
        <f aca="false">IFERROR(I87-P87,"")</f>
        <v>-16801</v>
      </c>
      <c r="S87" s="10" t="n">
        <f aca="false">IFERROR(R87/P87,"")</f>
        <v>-0.261758977954351</v>
      </c>
    </row>
    <row r="88" customFormat="false" ht="15" hidden="false" customHeight="true" outlineLevel="0" collapsed="false">
      <c r="A88" s="3" t="s">
        <v>290</v>
      </c>
      <c r="B88" s="3" t="s">
        <v>46</v>
      </c>
      <c r="C88" s="3" t="s">
        <v>291</v>
      </c>
      <c r="D88" s="5" t="n">
        <v>55.6</v>
      </c>
      <c r="E88" s="6" t="n">
        <v>1115</v>
      </c>
      <c r="F88" s="7" t="n">
        <v>5952</v>
      </c>
      <c r="G88" s="8" t="n">
        <v>15640</v>
      </c>
      <c r="H88" s="8" t="n">
        <v>32896</v>
      </c>
      <c r="I88" s="8" t="n">
        <v>59649</v>
      </c>
      <c r="J88" s="5" t="n">
        <v>57.3</v>
      </c>
      <c r="K88" s="8" t="n">
        <v>22500</v>
      </c>
      <c r="L88" s="6" t="n">
        <v>0</v>
      </c>
      <c r="M88" s="3" t="s">
        <v>150</v>
      </c>
      <c r="N88" s="3" t="str">
        <f aca="false">INDEX('State Mapping'!$B$2:$B$53,MATCH(B88,'State Mapping'!$A$2:$A$53,0))</f>
        <v>Michigan</v>
      </c>
      <c r="O88" s="8" t="n">
        <f aca="false">IFERROR(INDEX('State Premium Data'!$D$2:$D$53,MATCH(N88,'State Premium Data'!$A$2:$A$53,0)),"")</f>
        <v>27987</v>
      </c>
      <c r="P88" s="8" t="n">
        <f aca="false">IFERROR(INDEX('State Premium Data'!$C$2:$C$53,MATCH(N88,'State Premium Data'!$A$2:$A$53,0)),"")</f>
        <v>64810</v>
      </c>
      <c r="Q88" s="9" t="n">
        <f aca="false">IFERROR(K88/O88,"")</f>
        <v>0.803944688605424</v>
      </c>
      <c r="R88" s="8" t="n">
        <f aca="false">IFERROR(I88-P88,"")</f>
        <v>-5161</v>
      </c>
      <c r="S88" s="10" t="n">
        <f aca="false">IFERROR(R88/P88,"")</f>
        <v>-0.0796327727202592</v>
      </c>
    </row>
    <row r="89" customFormat="false" ht="15" hidden="false" customHeight="true" outlineLevel="0" collapsed="false">
      <c r="A89" s="3" t="s">
        <v>292</v>
      </c>
      <c r="B89" s="3" t="s">
        <v>70</v>
      </c>
      <c r="C89" s="3" t="s">
        <v>293</v>
      </c>
      <c r="D89" s="5" t="n">
        <v>56.5</v>
      </c>
      <c r="E89" s="6" t="n">
        <v>1295</v>
      </c>
      <c r="F89" s="7" t="n">
        <v>5182</v>
      </c>
      <c r="G89" s="8" t="n">
        <v>47750</v>
      </c>
      <c r="H89" s="8" t="n">
        <v>47750</v>
      </c>
      <c r="I89" s="8" t="n">
        <v>77819</v>
      </c>
      <c r="J89" s="5" t="n">
        <v>79.7</v>
      </c>
      <c r="K89" s="8" t="n">
        <v>25000</v>
      </c>
      <c r="L89" s="6" t="n">
        <v>0</v>
      </c>
      <c r="M89" s="3" t="s">
        <v>134</v>
      </c>
      <c r="N89" s="3" t="str">
        <f aca="false">INDEX('State Mapping'!$B$2:$B$53,MATCH(B89,'State Mapping'!$A$2:$A$53,0))</f>
        <v>New York</v>
      </c>
      <c r="O89" s="8" t="n">
        <f aca="false">IFERROR(INDEX('State Premium Data'!$D$2:$D$53,MATCH(N89,'State Premium Data'!$A$2:$A$53,0)),"")</f>
        <v>34733</v>
      </c>
      <c r="P89" s="8" t="n">
        <f aca="false">IFERROR(INDEX('State Premium Data'!$C$2:$C$53,MATCH(N89,'State Premium Data'!$A$2:$A$53,0)),"")</f>
        <v>74504</v>
      </c>
      <c r="Q89" s="9" t="n">
        <f aca="false">IFERROR(K89/O89,"")</f>
        <v>0.719776581349149</v>
      </c>
      <c r="R89" s="8" t="n">
        <f aca="false">IFERROR(I89-P89,"")</f>
        <v>3315</v>
      </c>
      <c r="S89" s="10" t="n">
        <f aca="false">IFERROR(R89/P89,"")</f>
        <v>0.0444942553419951</v>
      </c>
    </row>
    <row r="90" customFormat="false" ht="15" hidden="false" customHeight="true" outlineLevel="0" collapsed="false">
      <c r="A90" s="3" t="s">
        <v>294</v>
      </c>
      <c r="B90" s="3" t="s">
        <v>80</v>
      </c>
      <c r="C90" s="3" t="s">
        <v>295</v>
      </c>
      <c r="D90" s="5" t="n">
        <v>56.5</v>
      </c>
      <c r="E90" s="6"/>
      <c r="F90" s="7" t="n">
        <v>9539</v>
      </c>
      <c r="G90" s="8" t="n">
        <v>5274</v>
      </c>
      <c r="H90" s="8" t="n">
        <v>5274</v>
      </c>
      <c r="I90" s="8" t="n">
        <v>48992</v>
      </c>
      <c r="J90" s="5" t="n">
        <v>48</v>
      </c>
      <c r="K90" s="8" t="n">
        <v>8250</v>
      </c>
      <c r="L90" s="6" t="n">
        <v>0</v>
      </c>
      <c r="M90" s="3" t="s">
        <v>134</v>
      </c>
      <c r="N90" s="3" t="str">
        <f aca="false">INDEX('State Mapping'!$B$2:$B$53,MATCH(B90,'State Mapping'!$A$2:$A$53,0))</f>
        <v>Puerto Rico</v>
      </c>
      <c r="O90" s="8" t="n">
        <f aca="false">IFERROR(INDEX('State Premium Data'!$D$2:$D$53,MATCH(N90,'State Premium Data'!$A$2:$A$53,0)),"")</f>
        <v>13605</v>
      </c>
      <c r="P90" s="8" t="n">
        <f aca="false">IFERROR(INDEX('State Premium Data'!$C$2:$C$53,MATCH(N90,'State Premium Data'!$A$2:$A$53,0)),"")</f>
        <v>30562</v>
      </c>
      <c r="Q90" s="9" t="n">
        <f aca="false">IFERROR(K90/O90,"")</f>
        <v>0.606394707828004</v>
      </c>
      <c r="R90" s="8" t="n">
        <f aca="false">IFERROR(I90-P90,"")</f>
        <v>18430</v>
      </c>
      <c r="S90" s="10" t="n">
        <f aca="false">IFERROR(R90/P90,"")</f>
        <v>0.603036450494078</v>
      </c>
    </row>
    <row r="91" customFormat="false" ht="15" hidden="false" customHeight="true" outlineLevel="0" collapsed="false">
      <c r="A91" s="3" t="s">
        <v>296</v>
      </c>
      <c r="B91" s="3" t="s">
        <v>70</v>
      </c>
      <c r="C91" s="3" t="s">
        <v>297</v>
      </c>
      <c r="D91" s="5" t="n">
        <v>56.6</v>
      </c>
      <c r="E91" s="6" t="n">
        <v>970</v>
      </c>
      <c r="F91" s="7" t="n">
        <v>10696</v>
      </c>
      <c r="G91" s="8" t="n">
        <v>7410</v>
      </c>
      <c r="H91" s="8" t="n">
        <v>15360</v>
      </c>
      <c r="I91" s="8" t="n">
        <v>58013</v>
      </c>
      <c r="J91" s="5" t="n">
        <v>50.3</v>
      </c>
      <c r="K91" s="8" t="n">
        <v>10950</v>
      </c>
      <c r="L91" s="6" t="n">
        <v>0</v>
      </c>
      <c r="M91" s="3" t="s">
        <v>134</v>
      </c>
      <c r="N91" s="3" t="str">
        <f aca="false">INDEX('State Mapping'!$B$2:$B$53,MATCH(B91,'State Mapping'!$A$2:$A$53,0))</f>
        <v>New York</v>
      </c>
      <c r="O91" s="8" t="n">
        <f aca="false">IFERROR(INDEX('State Premium Data'!$D$2:$D$53,MATCH(N91,'State Premium Data'!$A$2:$A$53,0)),"")</f>
        <v>34733</v>
      </c>
      <c r="P91" s="8" t="n">
        <f aca="false">IFERROR(INDEX('State Premium Data'!$C$2:$C$53,MATCH(N91,'State Premium Data'!$A$2:$A$53,0)),"")</f>
        <v>74504</v>
      </c>
      <c r="Q91" s="9" t="n">
        <f aca="false">IFERROR(K91/O91,"")</f>
        <v>0.315262142630927</v>
      </c>
      <c r="R91" s="8" t="n">
        <f aca="false">IFERROR(I91-P91,"")</f>
        <v>-16491</v>
      </c>
      <c r="S91" s="10" t="n">
        <f aca="false">IFERROR(R91/P91,"")</f>
        <v>-0.221343820466015</v>
      </c>
    </row>
    <row r="92" customFormat="false" ht="15" hidden="false" customHeight="true" outlineLevel="0" collapsed="false">
      <c r="A92" s="3" t="s">
        <v>298</v>
      </c>
      <c r="B92" s="3" t="s">
        <v>70</v>
      </c>
      <c r="C92" s="3" t="s">
        <v>71</v>
      </c>
      <c r="D92" s="5" t="n">
        <v>57.1</v>
      </c>
      <c r="E92" s="6" t="n">
        <v>1080</v>
      </c>
      <c r="F92" s="7" t="n">
        <v>11590</v>
      </c>
      <c r="G92" s="8" t="n">
        <v>7470</v>
      </c>
      <c r="H92" s="8" t="n">
        <v>15420</v>
      </c>
      <c r="I92" s="8" t="n">
        <v>56195</v>
      </c>
      <c r="J92" s="5" t="n">
        <v>55.7</v>
      </c>
      <c r="K92" s="8" t="n">
        <v>11000</v>
      </c>
      <c r="L92" s="6" t="n">
        <v>0</v>
      </c>
      <c r="M92" s="3" t="s">
        <v>134</v>
      </c>
      <c r="N92" s="3" t="str">
        <f aca="false">INDEX('State Mapping'!$B$2:$B$53,MATCH(B92,'State Mapping'!$A$2:$A$53,0))</f>
        <v>New York</v>
      </c>
      <c r="O92" s="8" t="n">
        <f aca="false">IFERROR(INDEX('State Premium Data'!$D$2:$D$53,MATCH(N92,'State Premium Data'!$A$2:$A$53,0)),"")</f>
        <v>34733</v>
      </c>
      <c r="P92" s="8" t="n">
        <f aca="false">IFERROR(INDEX('State Premium Data'!$C$2:$C$53,MATCH(N92,'State Premium Data'!$A$2:$A$53,0)),"")</f>
        <v>74504</v>
      </c>
      <c r="Q92" s="9" t="n">
        <f aca="false">IFERROR(K92/O92,"")</f>
        <v>0.316701695793626</v>
      </c>
      <c r="R92" s="8" t="n">
        <f aca="false">IFERROR(I92-P92,"")</f>
        <v>-18309</v>
      </c>
      <c r="S92" s="10" t="n">
        <f aca="false">IFERROR(R92/P92,"")</f>
        <v>-0.245745194888865</v>
      </c>
    </row>
    <row r="93" customFormat="false" ht="15" hidden="false" customHeight="true" outlineLevel="0" collapsed="false">
      <c r="A93" s="3" t="s">
        <v>299</v>
      </c>
      <c r="B93" s="3" t="s">
        <v>90</v>
      </c>
      <c r="C93" s="3" t="s">
        <v>300</v>
      </c>
      <c r="D93" s="5" t="n">
        <v>57.4</v>
      </c>
      <c r="E93" s="6" t="n">
        <v>1280</v>
      </c>
      <c r="F93" s="7" t="n">
        <v>59615</v>
      </c>
      <c r="G93" s="8" t="n">
        <v>13154</v>
      </c>
      <c r="H93" s="8" t="n">
        <v>40124</v>
      </c>
      <c r="I93" s="8" t="n">
        <v>72097</v>
      </c>
      <c r="J93" s="5" t="n">
        <v>83.9</v>
      </c>
      <c r="K93" s="8" t="n">
        <v>17804</v>
      </c>
      <c r="L93" s="6" t="n">
        <v>0</v>
      </c>
      <c r="M93" s="3" t="s">
        <v>134</v>
      </c>
      <c r="N93" s="3" t="str">
        <f aca="false">INDEX('State Mapping'!$B$2:$B$53,MATCH(B93,'State Mapping'!$A$2:$A$53,0))</f>
        <v>Texas</v>
      </c>
      <c r="O93" s="8" t="n">
        <f aca="false">IFERROR(INDEX('State Premium Data'!$D$2:$D$53,MATCH(N93,'State Premium Data'!$A$2:$A$53,0)),"")</f>
        <v>29388</v>
      </c>
      <c r="P93" s="8" t="n">
        <f aca="false">IFERROR(INDEX('State Premium Data'!$C$2:$C$53,MATCH(N93,'State Premium Data'!$A$2:$A$53,0)),"")</f>
        <v>66474</v>
      </c>
      <c r="Q93" s="9" t="n">
        <f aca="false">IFERROR(K93/O93,"")</f>
        <v>0.605825507009664</v>
      </c>
      <c r="R93" s="8" t="n">
        <f aca="false">IFERROR(I93-P93,"")</f>
        <v>5623</v>
      </c>
      <c r="S93" s="10" t="n">
        <f aca="false">IFERROR(R93/P93,"")</f>
        <v>0.0845894635496585</v>
      </c>
    </row>
    <row r="94" customFormat="false" ht="15" hidden="false" customHeight="true" outlineLevel="0" collapsed="false">
      <c r="A94" s="3" t="s">
        <v>301</v>
      </c>
      <c r="B94" s="3" t="s">
        <v>20</v>
      </c>
      <c r="C94" s="3" t="s">
        <v>302</v>
      </c>
      <c r="D94" s="5" t="n">
        <v>57.9</v>
      </c>
      <c r="E94" s="6" t="n">
        <v>1148</v>
      </c>
      <c r="F94" s="7" t="n">
        <v>9139</v>
      </c>
      <c r="G94" s="8" t="n">
        <v>12097</v>
      </c>
      <c r="H94" s="8" t="n">
        <v>12097</v>
      </c>
      <c r="I94" s="8" t="n">
        <v>84131</v>
      </c>
      <c r="J94" s="5" t="n">
        <v>21.1</v>
      </c>
      <c r="K94" s="8" t="n">
        <v>23666</v>
      </c>
      <c r="L94" s="6" t="n">
        <v>0</v>
      </c>
      <c r="M94" s="3" t="s">
        <v>134</v>
      </c>
      <c r="N94" s="3" t="str">
        <f aca="false">INDEX('State Mapping'!$B$2:$B$53,MATCH(B94,'State Mapping'!$A$2:$A$53,0))</f>
        <v>Florida</v>
      </c>
      <c r="O94" s="8" t="n">
        <f aca="false">IFERROR(INDEX('State Premium Data'!$D$2:$D$53,MATCH(N94,'State Premium Data'!$A$2:$A$53,0)),"")</f>
        <v>21625</v>
      </c>
      <c r="P94" s="8" t="n">
        <f aca="false">IFERROR(INDEX('State Premium Data'!$C$2:$C$53,MATCH(N94,'State Premium Data'!$A$2:$A$53,0)),"")</f>
        <v>58009</v>
      </c>
      <c r="Q94" s="9" t="n">
        <f aca="false">IFERROR(K94/O94,"")</f>
        <v>1.09438150289017</v>
      </c>
      <c r="R94" s="8" t="n">
        <f aca="false">IFERROR(I94-P94,"")</f>
        <v>26122</v>
      </c>
      <c r="S94" s="10" t="n">
        <f aca="false">IFERROR(R94/P94,"")</f>
        <v>0.450309434742885</v>
      </c>
    </row>
    <row r="95" customFormat="false" ht="15" hidden="false" customHeight="true" outlineLevel="0" collapsed="false">
      <c r="A95" s="3" t="s">
        <v>303</v>
      </c>
      <c r="B95" s="3" t="s">
        <v>4</v>
      </c>
      <c r="C95" s="3" t="s">
        <v>304</v>
      </c>
      <c r="D95" s="5" t="n">
        <v>58</v>
      </c>
      <c r="E95" s="6" t="n">
        <v>938</v>
      </c>
      <c r="F95" s="7" t="n">
        <v>6124</v>
      </c>
      <c r="G95" s="8" t="n">
        <v>10024</v>
      </c>
      <c r="H95" s="8" t="n">
        <v>18634</v>
      </c>
      <c r="I95" s="8" t="n">
        <v>40628</v>
      </c>
      <c r="J95" s="5" t="n">
        <v>26.3</v>
      </c>
      <c r="K95" s="8" t="n">
        <v>31000</v>
      </c>
      <c r="L95" s="6" t="n">
        <v>0</v>
      </c>
      <c r="M95" s="3" t="s">
        <v>134</v>
      </c>
      <c r="N95" s="3" t="str">
        <f aca="false">INDEX('State Mapping'!$B$2:$B$53,MATCH(B95,'State Mapping'!$A$2:$A$53,0))</f>
        <v>Alabama</v>
      </c>
      <c r="O95" s="8" t="n">
        <f aca="false">IFERROR(INDEX('State Premium Data'!$D$2:$D$53,MATCH(N95,'State Premium Data'!$A$2:$A$53,0)),"")</f>
        <v>23541</v>
      </c>
      <c r="P95" s="8" t="n">
        <f aca="false">IFERROR(INDEX('State Premium Data'!$C$2:$C$53,MATCH(N95,'State Premium Data'!$A$2:$A$53,0)),"")</f>
        <v>60156</v>
      </c>
      <c r="Q95" s="9" t="n">
        <f aca="false">IFERROR(K95/O95,"")</f>
        <v>1.31685145066055</v>
      </c>
      <c r="R95" s="8" t="n">
        <f aca="false">IFERROR(I95-P95,"")</f>
        <v>-19528</v>
      </c>
      <c r="S95" s="10" t="n">
        <f aca="false">IFERROR(R95/P95,"")</f>
        <v>-0.324622647782432</v>
      </c>
    </row>
    <row r="96" customFormat="false" ht="15" hidden="false" customHeight="true" outlineLevel="0" collapsed="false">
      <c r="A96" s="3" t="s">
        <v>305</v>
      </c>
      <c r="B96" s="3" t="s">
        <v>78</v>
      </c>
      <c r="C96" s="3" t="s">
        <v>175</v>
      </c>
      <c r="D96" s="5" t="n">
        <v>58.1</v>
      </c>
      <c r="E96" s="6" t="n">
        <v>1370</v>
      </c>
      <c r="F96" s="7" t="n">
        <v>20370</v>
      </c>
      <c r="G96" s="8" t="n">
        <v>21926</v>
      </c>
      <c r="H96" s="8" t="n">
        <v>41430</v>
      </c>
      <c r="I96" s="8" t="n">
        <v>66125</v>
      </c>
      <c r="J96" s="5" t="n">
        <v>84.9</v>
      </c>
      <c r="K96" s="8" t="n">
        <v>24250</v>
      </c>
      <c r="L96" s="6" t="n">
        <v>0</v>
      </c>
      <c r="M96" s="3" t="s">
        <v>134</v>
      </c>
      <c r="N96" s="3" t="str">
        <f aca="false">INDEX('State Mapping'!$B$2:$B$53,MATCH(B96,'State Mapping'!$A$2:$A$53,0))</f>
        <v>Pennsylvania</v>
      </c>
      <c r="O96" s="8" t="n">
        <f aca="false">IFERROR(INDEX('State Premium Data'!$D$2:$D$53,MATCH(N96,'State Premium Data'!$A$2:$A$53,0)),"")</f>
        <v>25342</v>
      </c>
      <c r="P96" s="8" t="n">
        <f aca="false">IFERROR(INDEX('State Premium Data'!$C$2:$C$53,MATCH(N96,'State Premium Data'!$A$2:$A$53,0)),"")</f>
        <v>65678</v>
      </c>
      <c r="Q96" s="9" t="n">
        <f aca="false">IFERROR(K96/O96,"")</f>
        <v>0.956909478336359</v>
      </c>
      <c r="R96" s="8" t="n">
        <f aca="false">IFERROR(I96-P96,"")</f>
        <v>447</v>
      </c>
      <c r="S96" s="10" t="n">
        <f aca="false">IFERROR(R96/P96,"")</f>
        <v>0.00680593197113189</v>
      </c>
    </row>
    <row r="97" customFormat="false" ht="15" hidden="false" customHeight="true" outlineLevel="0" collapsed="false">
      <c r="A97" s="3" t="s">
        <v>306</v>
      </c>
      <c r="B97" s="3" t="s">
        <v>64</v>
      </c>
      <c r="C97" s="3" t="s">
        <v>307</v>
      </c>
      <c r="D97" s="5" t="n">
        <v>58.1</v>
      </c>
      <c r="E97" s="6" t="n">
        <v>1410</v>
      </c>
      <c r="F97" s="7" t="n">
        <v>37751</v>
      </c>
      <c r="G97" s="8" t="n">
        <v>17929</v>
      </c>
      <c r="H97" s="8" t="n">
        <v>37441</v>
      </c>
      <c r="I97" s="8" t="n">
        <v>74479</v>
      </c>
      <c r="J97" s="5" t="n">
        <v>84.3</v>
      </c>
      <c r="K97" s="8" t="n">
        <v>21500</v>
      </c>
      <c r="L97" s="6" t="n">
        <v>1</v>
      </c>
      <c r="M97" s="3" t="s">
        <v>134</v>
      </c>
      <c r="N97" s="3" t="str">
        <f aca="false">INDEX('State Mapping'!$B$2:$B$53,MATCH(B97,'State Mapping'!$A$2:$A$53,0))</f>
        <v>New Jersey</v>
      </c>
      <c r="O97" s="8" t="n">
        <f aca="false">IFERROR(INDEX('State Premium Data'!$D$2:$D$53,MATCH(N97,'State Premium Data'!$A$2:$A$53,0)),"")</f>
        <v>38586</v>
      </c>
      <c r="P97" s="8" t="n">
        <f aca="false">IFERROR(INDEX('State Premium Data'!$C$2:$C$53,MATCH(N97,'State Premium Data'!$A$2:$A$53,0)),"")</f>
        <v>80114</v>
      </c>
      <c r="Q97" s="9" t="n">
        <f aca="false">IFERROR(K97/O97,"")</f>
        <v>0.557196910796662</v>
      </c>
      <c r="R97" s="8" t="n">
        <f aca="false">IFERROR(I97-P97,"")</f>
        <v>-5635</v>
      </c>
      <c r="S97" s="10" t="n">
        <f aca="false">IFERROR(R97/P97,"")</f>
        <v>-0.0703372693911177</v>
      </c>
    </row>
    <row r="98" customFormat="false" ht="15" hidden="false" customHeight="true" outlineLevel="0" collapsed="false">
      <c r="A98" s="3" t="s">
        <v>308</v>
      </c>
      <c r="B98" s="3" t="s">
        <v>20</v>
      </c>
      <c r="C98" s="3" t="s">
        <v>309</v>
      </c>
      <c r="D98" s="5" t="n">
        <v>58.2</v>
      </c>
      <c r="E98" s="6" t="n">
        <v>1138</v>
      </c>
      <c r="F98" s="7" t="n">
        <v>9330</v>
      </c>
      <c r="G98" s="8" t="n">
        <v>6360</v>
      </c>
      <c r="H98" s="8" t="n">
        <v>19241</v>
      </c>
      <c r="I98" s="8" t="n">
        <v>49137</v>
      </c>
      <c r="J98" s="5" t="n">
        <v>60.3</v>
      </c>
      <c r="K98" s="8" t="n">
        <v>16624</v>
      </c>
      <c r="L98" s="6" t="n">
        <v>0</v>
      </c>
      <c r="M98" s="3" t="s">
        <v>134</v>
      </c>
      <c r="N98" s="3" t="str">
        <f aca="false">INDEX('State Mapping'!$B$2:$B$53,MATCH(B98,'State Mapping'!$A$2:$A$53,0))</f>
        <v>Florida</v>
      </c>
      <c r="O98" s="8" t="n">
        <f aca="false">IFERROR(INDEX('State Premium Data'!$D$2:$D$53,MATCH(N98,'State Premium Data'!$A$2:$A$53,0)),"")</f>
        <v>21625</v>
      </c>
      <c r="P98" s="8" t="n">
        <f aca="false">IFERROR(INDEX('State Premium Data'!$C$2:$C$53,MATCH(N98,'State Premium Data'!$A$2:$A$53,0)),"")</f>
        <v>58009</v>
      </c>
      <c r="Q98" s="9" t="n">
        <f aca="false">IFERROR(K98/O98,"")</f>
        <v>0.768739884393064</v>
      </c>
      <c r="R98" s="8" t="n">
        <f aca="false">IFERROR(I98-P98,"")</f>
        <v>-8872</v>
      </c>
      <c r="S98" s="10" t="n">
        <f aca="false">IFERROR(R98/P98,"")</f>
        <v>-0.152941784895447</v>
      </c>
    </row>
    <row r="99" customFormat="false" ht="15" hidden="false" customHeight="true" outlineLevel="0" collapsed="false">
      <c r="A99" s="3" t="s">
        <v>310</v>
      </c>
      <c r="B99" s="3" t="s">
        <v>70</v>
      </c>
      <c r="C99" s="3" t="s">
        <v>311</v>
      </c>
      <c r="D99" s="5" t="n">
        <v>58.4</v>
      </c>
      <c r="E99" s="6" t="n">
        <v>1140</v>
      </c>
      <c r="F99" s="7" t="n">
        <v>10543</v>
      </c>
      <c r="G99" s="8" t="n">
        <v>7452</v>
      </c>
      <c r="H99" s="8" t="n">
        <v>15402</v>
      </c>
      <c r="I99" s="8" t="n">
        <v>60752</v>
      </c>
      <c r="J99" s="5" t="n">
        <v>55.2</v>
      </c>
      <c r="K99" s="8" t="n">
        <v>11000</v>
      </c>
      <c r="L99" s="6" t="n">
        <v>0</v>
      </c>
      <c r="M99" s="3" t="s">
        <v>134</v>
      </c>
      <c r="N99" s="3" t="str">
        <f aca="false">INDEX('State Mapping'!$B$2:$B$53,MATCH(B99,'State Mapping'!$A$2:$A$53,0))</f>
        <v>New York</v>
      </c>
      <c r="O99" s="8" t="n">
        <f aca="false">IFERROR(INDEX('State Premium Data'!$D$2:$D$53,MATCH(N99,'State Premium Data'!$A$2:$A$53,0)),"")</f>
        <v>34733</v>
      </c>
      <c r="P99" s="8" t="n">
        <f aca="false">IFERROR(INDEX('State Premium Data'!$C$2:$C$53,MATCH(N99,'State Premium Data'!$A$2:$A$53,0)),"")</f>
        <v>74504</v>
      </c>
      <c r="Q99" s="9" t="n">
        <f aca="false">IFERROR(K99/O99,"")</f>
        <v>0.316701695793626</v>
      </c>
      <c r="R99" s="8" t="n">
        <f aca="false">IFERROR(I99-P99,"")</f>
        <v>-13752</v>
      </c>
      <c r="S99" s="10" t="n">
        <f aca="false">IFERROR(R99/P99,"")</f>
        <v>-0.184580693654032</v>
      </c>
    </row>
    <row r="100" customFormat="false" ht="15" hidden="false" customHeight="true" outlineLevel="0" collapsed="false">
      <c r="A100" s="3" t="s">
        <v>312</v>
      </c>
      <c r="B100" s="3" t="s">
        <v>70</v>
      </c>
      <c r="C100" s="3" t="s">
        <v>297</v>
      </c>
      <c r="D100" s="5" t="n">
        <v>59.3</v>
      </c>
      <c r="E100" s="6" t="n">
        <v>1418</v>
      </c>
      <c r="F100" s="7" t="n">
        <v>10512</v>
      </c>
      <c r="G100" s="8" t="n">
        <v>64915</v>
      </c>
      <c r="H100" s="8" t="n">
        <v>64915</v>
      </c>
      <c r="I100" s="8" t="n">
        <v>85569</v>
      </c>
      <c r="J100" s="5" t="n">
        <v>81.1</v>
      </c>
      <c r="K100" s="8" t="n">
        <v>24300</v>
      </c>
      <c r="L100" s="6" t="n">
        <v>0</v>
      </c>
      <c r="M100" s="3" t="s">
        <v>134</v>
      </c>
      <c r="N100" s="3" t="str">
        <f aca="false">INDEX('State Mapping'!$B$2:$B$53,MATCH(B100,'State Mapping'!$A$2:$A$53,0))</f>
        <v>New York</v>
      </c>
      <c r="O100" s="8" t="n">
        <f aca="false">IFERROR(INDEX('State Premium Data'!$D$2:$D$53,MATCH(N100,'State Premium Data'!$A$2:$A$53,0)),"")</f>
        <v>34733</v>
      </c>
      <c r="P100" s="8" t="n">
        <f aca="false">IFERROR(INDEX('State Premium Data'!$C$2:$C$53,MATCH(N100,'State Premium Data'!$A$2:$A$53,0)),"")</f>
        <v>74504</v>
      </c>
      <c r="Q100" s="9" t="n">
        <f aca="false">IFERROR(K100/O100,"")</f>
        <v>0.699622837071373</v>
      </c>
      <c r="R100" s="8" t="n">
        <f aca="false">IFERROR(I100-P100,"")</f>
        <v>11065</v>
      </c>
      <c r="S100" s="10" t="n">
        <f aca="false">IFERROR(R100/P100,"")</f>
        <v>0.148515515945453</v>
      </c>
    </row>
    <row r="101" customFormat="false" ht="15" hidden="false" customHeight="true" outlineLevel="0" collapsed="false">
      <c r="A101" s="3" t="s">
        <v>313</v>
      </c>
      <c r="B101" s="3" t="s">
        <v>72</v>
      </c>
      <c r="C101" s="3" t="s">
        <v>314</v>
      </c>
      <c r="D101" s="5" t="n">
        <v>59.7</v>
      </c>
      <c r="E101" s="6" t="n">
        <v>1081</v>
      </c>
      <c r="F101" s="7" t="n">
        <v>9052</v>
      </c>
      <c r="G101" s="8" t="n">
        <v>13135</v>
      </c>
      <c r="H101" s="8" t="n">
        <v>20815</v>
      </c>
      <c r="I101" s="8" t="n">
        <v>46600</v>
      </c>
      <c r="J101" s="5" t="n">
        <v>49.8</v>
      </c>
      <c r="K101" s="8" t="n">
        <v>23250</v>
      </c>
      <c r="L101" s="6" t="n">
        <v>0</v>
      </c>
      <c r="M101" s="3" t="s">
        <v>150</v>
      </c>
      <c r="N101" s="3" t="str">
        <f aca="false">INDEX('State Mapping'!$B$2:$B$53,MATCH(B101,'State Mapping'!$A$2:$A$53,0))</f>
        <v>Ohio</v>
      </c>
      <c r="O101" s="8" t="n">
        <f aca="false">IFERROR(INDEX('State Premium Data'!$D$2:$D$53,MATCH(N101,'State Premium Data'!$A$2:$A$53,0)),"")</f>
        <v>26943</v>
      </c>
      <c r="P101" s="8" t="n">
        <f aca="false">IFERROR(INDEX('State Premium Data'!$C$2:$C$53,MATCH(N101,'State Premium Data'!$A$2:$A$53,0)),"")</f>
        <v>64933</v>
      </c>
      <c r="Q101" s="9" t="n">
        <f aca="false">IFERROR(K101/O101,"")</f>
        <v>0.862932858256319</v>
      </c>
      <c r="R101" s="8" t="n">
        <f aca="false">IFERROR(I101-P101,"")</f>
        <v>-18333</v>
      </c>
      <c r="S101" s="10" t="n">
        <f aca="false">IFERROR(R101/P101,"")</f>
        <v>-0.282337178322271</v>
      </c>
    </row>
    <row r="102" customFormat="false" ht="15" hidden="false" customHeight="true" outlineLevel="0" collapsed="false">
      <c r="A102" s="3" t="s">
        <v>315</v>
      </c>
      <c r="B102" s="3" t="s">
        <v>40</v>
      </c>
      <c r="C102" s="3" t="s">
        <v>316</v>
      </c>
      <c r="D102" s="5" t="n">
        <v>59.7</v>
      </c>
      <c r="E102" s="6" t="n">
        <v>1423</v>
      </c>
      <c r="F102" s="7" t="n">
        <v>23671</v>
      </c>
      <c r="G102" s="8" t="n">
        <v>17772</v>
      </c>
      <c r="H102" s="8" t="n">
        <v>40449</v>
      </c>
      <c r="I102" s="8" t="n">
        <v>71631</v>
      </c>
      <c r="J102" s="5" t="n">
        <v>83.2</v>
      </c>
      <c r="K102" s="8" t="n">
        <v>22763</v>
      </c>
      <c r="L102" s="6" t="n">
        <v>0</v>
      </c>
      <c r="M102" s="3" t="s">
        <v>134</v>
      </c>
      <c r="N102" s="3" t="str">
        <f aca="false">INDEX('State Mapping'!$B$2:$B$53,MATCH(B102,'State Mapping'!$A$2:$A$53,0))</f>
        <v>Massachusetts</v>
      </c>
      <c r="O102" s="8" t="n">
        <f aca="false">IFERROR(INDEX('State Premium Data'!$D$2:$D$53,MATCH(N102,'State Premium Data'!$A$2:$A$53,0)),"")</f>
        <v>36224</v>
      </c>
      <c r="P102" s="8" t="n">
        <f aca="false">IFERROR(INDEX('State Premium Data'!$C$2:$C$53,MATCH(N102,'State Premium Data'!$A$2:$A$53,0)),"")</f>
        <v>79985</v>
      </c>
      <c r="Q102" s="9" t="n">
        <f aca="false">IFERROR(K102/O102,"")</f>
        <v>0.628395538869258</v>
      </c>
      <c r="R102" s="8" t="n">
        <f aca="false">IFERROR(I102-P102,"")</f>
        <v>-8354</v>
      </c>
      <c r="S102" s="10" t="n">
        <f aca="false">IFERROR(R102/P102,"")</f>
        <v>-0.10444458335938</v>
      </c>
    </row>
    <row r="103" customFormat="false" ht="15" hidden="false" customHeight="true" outlineLevel="0" collapsed="false">
      <c r="A103" s="3" t="s">
        <v>317</v>
      </c>
      <c r="B103" s="3" t="s">
        <v>70</v>
      </c>
      <c r="C103" s="3" t="s">
        <v>318</v>
      </c>
      <c r="D103" s="5" t="n">
        <v>59.8</v>
      </c>
      <c r="E103" s="6"/>
      <c r="F103" s="7" t="n">
        <v>5901</v>
      </c>
      <c r="G103" s="8" t="n">
        <v>8874</v>
      </c>
      <c r="H103" s="8" t="n">
        <v>18784</v>
      </c>
      <c r="I103" s="8" t="n">
        <v>60236</v>
      </c>
      <c r="J103" s="5" t="n">
        <v>68.1</v>
      </c>
      <c r="K103" s="8" t="n">
        <v>21500</v>
      </c>
      <c r="L103" s="6" t="n">
        <v>0</v>
      </c>
      <c r="M103" s="3" t="s">
        <v>134</v>
      </c>
      <c r="N103" s="3" t="str">
        <f aca="false">INDEX('State Mapping'!$B$2:$B$53,MATCH(B103,'State Mapping'!$A$2:$A$53,0))</f>
        <v>New York</v>
      </c>
      <c r="O103" s="8" t="n">
        <f aca="false">IFERROR(INDEX('State Premium Data'!$D$2:$D$53,MATCH(N103,'State Premium Data'!$A$2:$A$53,0)),"")</f>
        <v>34733</v>
      </c>
      <c r="P103" s="8" t="n">
        <f aca="false">IFERROR(INDEX('State Premium Data'!$C$2:$C$53,MATCH(N103,'State Premium Data'!$A$2:$A$53,0)),"")</f>
        <v>74504</v>
      </c>
      <c r="Q103" s="9" t="n">
        <f aca="false">IFERROR(K103/O103,"")</f>
        <v>0.619007859960268</v>
      </c>
      <c r="R103" s="8" t="n">
        <f aca="false">IFERROR(I103-P103,"")</f>
        <v>-14268</v>
      </c>
      <c r="S103" s="10" t="n">
        <f aca="false">IFERROR(R103/P103,"")</f>
        <v>-0.191506496295501</v>
      </c>
    </row>
    <row r="104" customFormat="false" ht="15" hidden="false" customHeight="true" outlineLevel="0" collapsed="false">
      <c r="A104" s="3" t="s">
        <v>319</v>
      </c>
      <c r="B104" s="3" t="s">
        <v>70</v>
      </c>
      <c r="C104" s="3" t="s">
        <v>71</v>
      </c>
      <c r="D104" s="5" t="n">
        <v>60</v>
      </c>
      <c r="E104" s="6" t="n">
        <v>1260</v>
      </c>
      <c r="F104" s="7" t="n">
        <v>12505</v>
      </c>
      <c r="G104" s="8" t="n">
        <v>7340</v>
      </c>
      <c r="H104" s="8" t="n">
        <v>15290</v>
      </c>
      <c r="I104" s="8" t="n">
        <v>66039</v>
      </c>
      <c r="J104" s="5" t="n">
        <v>55.8</v>
      </c>
      <c r="K104" s="8" t="n">
        <v>11990</v>
      </c>
      <c r="L104" s="6" t="n">
        <v>0</v>
      </c>
      <c r="M104" s="3" t="s">
        <v>134</v>
      </c>
      <c r="N104" s="3" t="str">
        <f aca="false">INDEX('State Mapping'!$B$2:$B$53,MATCH(B104,'State Mapping'!$A$2:$A$53,0))</f>
        <v>New York</v>
      </c>
      <c r="O104" s="8" t="n">
        <f aca="false">IFERROR(INDEX('State Premium Data'!$D$2:$D$53,MATCH(N104,'State Premium Data'!$A$2:$A$53,0)),"")</f>
        <v>34733</v>
      </c>
      <c r="P104" s="8" t="n">
        <f aca="false">IFERROR(INDEX('State Premium Data'!$C$2:$C$53,MATCH(N104,'State Premium Data'!$A$2:$A$53,0)),"")</f>
        <v>74504</v>
      </c>
      <c r="Q104" s="9" t="n">
        <f aca="false">IFERROR(K104/O104,"")</f>
        <v>0.345204848415052</v>
      </c>
      <c r="R104" s="8" t="n">
        <f aca="false">IFERROR(I104-P104,"")</f>
        <v>-8465</v>
      </c>
      <c r="S104" s="10" t="n">
        <f aca="false">IFERROR(R104/P104,"")</f>
        <v>-0.11361806077526</v>
      </c>
    </row>
    <row r="105" customFormat="false" ht="15" hidden="false" customHeight="true" outlineLevel="0" collapsed="false">
      <c r="A105" s="3" t="s">
        <v>320</v>
      </c>
      <c r="B105" s="3" t="s">
        <v>84</v>
      </c>
      <c r="C105" s="3" t="s">
        <v>321</v>
      </c>
      <c r="D105" s="5" t="n">
        <v>60</v>
      </c>
      <c r="E105" s="6" t="n">
        <v>1247</v>
      </c>
      <c r="F105" s="7" t="n">
        <v>10558</v>
      </c>
      <c r="G105" s="8" t="n">
        <v>12978</v>
      </c>
      <c r="H105" s="8" t="n">
        <v>38296</v>
      </c>
      <c r="I105" s="8" t="n">
        <v>56416</v>
      </c>
      <c r="J105" s="5" t="n">
        <v>65.4</v>
      </c>
      <c r="K105" s="8" t="n">
        <v>23250</v>
      </c>
      <c r="L105" s="6" t="n">
        <v>0</v>
      </c>
      <c r="M105" s="3" t="s">
        <v>134</v>
      </c>
      <c r="N105" s="3" t="str">
        <f aca="false">INDEX('State Mapping'!$B$2:$B$53,MATCH(B105,'State Mapping'!$A$2:$A$53,0))</f>
        <v>South Carolina</v>
      </c>
      <c r="O105" s="8" t="n">
        <f aca="false">IFERROR(INDEX('State Premium Data'!$D$2:$D$53,MATCH(N105,'State Premium Data'!$A$2:$A$53,0)),"")</f>
        <v>23850</v>
      </c>
      <c r="P105" s="8" t="n">
        <f aca="false">IFERROR(INDEX('State Premium Data'!$C$2:$C$53,MATCH(N105,'State Premium Data'!$A$2:$A$53,0)),"")</f>
        <v>60590</v>
      </c>
      <c r="Q105" s="9" t="n">
        <f aca="false">IFERROR(K105/O105,"")</f>
        <v>0.974842767295598</v>
      </c>
      <c r="R105" s="8" t="n">
        <f aca="false">IFERROR(I105-P105,"")</f>
        <v>-4174</v>
      </c>
      <c r="S105" s="10" t="n">
        <f aca="false">IFERROR(R105/P105,"")</f>
        <v>-0.068889255652748</v>
      </c>
    </row>
    <row r="106" customFormat="false" ht="15" hidden="false" customHeight="true" outlineLevel="0" collapsed="false">
      <c r="A106" s="3" t="s">
        <v>322</v>
      </c>
      <c r="B106" s="3" t="s">
        <v>84</v>
      </c>
      <c r="C106" s="3" t="s">
        <v>323</v>
      </c>
      <c r="D106" s="5" t="n">
        <v>60.2</v>
      </c>
      <c r="E106" s="6" t="n">
        <v>1297</v>
      </c>
      <c r="F106" s="7" t="n">
        <v>29820</v>
      </c>
      <c r="G106" s="8" t="n">
        <v>12688</v>
      </c>
      <c r="H106" s="8" t="n">
        <v>35972</v>
      </c>
      <c r="I106" s="8" t="n">
        <v>62177</v>
      </c>
      <c r="J106" s="5" t="n">
        <v>78.3</v>
      </c>
      <c r="K106" s="8" t="n">
        <v>21500</v>
      </c>
      <c r="L106" s="6" t="n">
        <v>0</v>
      </c>
      <c r="M106" s="3" t="s">
        <v>134</v>
      </c>
      <c r="N106" s="3" t="str">
        <f aca="false">INDEX('State Mapping'!$B$2:$B$53,MATCH(B106,'State Mapping'!$A$2:$A$53,0))</f>
        <v>South Carolina</v>
      </c>
      <c r="O106" s="8" t="n">
        <f aca="false">IFERROR(INDEX('State Premium Data'!$D$2:$D$53,MATCH(N106,'State Premium Data'!$A$2:$A$53,0)),"")</f>
        <v>23850</v>
      </c>
      <c r="P106" s="8" t="n">
        <f aca="false">IFERROR(INDEX('State Premium Data'!$C$2:$C$53,MATCH(N106,'State Premium Data'!$A$2:$A$53,0)),"")</f>
        <v>60590</v>
      </c>
      <c r="Q106" s="9" t="n">
        <f aca="false">IFERROR(K106/O106,"")</f>
        <v>0.90146750524109</v>
      </c>
      <c r="R106" s="8" t="n">
        <f aca="false">IFERROR(I106-P106,"")</f>
        <v>1587</v>
      </c>
      <c r="S106" s="10" t="n">
        <f aca="false">IFERROR(R106/P106,"")</f>
        <v>0.0261924409968642</v>
      </c>
    </row>
    <row r="107" customFormat="false" ht="15" hidden="false" customHeight="true" outlineLevel="0" collapsed="false">
      <c r="A107" s="3" t="s">
        <v>324</v>
      </c>
      <c r="B107" s="3" t="s">
        <v>40</v>
      </c>
      <c r="C107" s="3" t="s">
        <v>325</v>
      </c>
      <c r="D107" s="5" t="n">
        <v>60.2</v>
      </c>
      <c r="E107" s="6"/>
      <c r="F107" s="7" t="n">
        <v>5447</v>
      </c>
      <c r="G107" s="8" t="n">
        <v>60965</v>
      </c>
      <c r="H107" s="8" t="n">
        <v>60965</v>
      </c>
      <c r="I107" s="8" t="n">
        <v>103470</v>
      </c>
      <c r="J107" s="5" t="n">
        <v>89.1</v>
      </c>
      <c r="K107" s="8" t="n">
        <v>27000</v>
      </c>
      <c r="L107" s="6" t="n">
        <v>0</v>
      </c>
      <c r="M107" s="3" t="s">
        <v>134</v>
      </c>
      <c r="N107" s="3" t="str">
        <f aca="false">INDEX('State Mapping'!$B$2:$B$53,MATCH(B107,'State Mapping'!$A$2:$A$53,0))</f>
        <v>Massachusetts</v>
      </c>
      <c r="O107" s="8" t="n">
        <f aca="false">IFERROR(INDEX('State Premium Data'!$D$2:$D$53,MATCH(N107,'State Premium Data'!$A$2:$A$53,0)),"")</f>
        <v>36224</v>
      </c>
      <c r="P107" s="8" t="n">
        <f aca="false">IFERROR(INDEX('State Premium Data'!$C$2:$C$53,MATCH(N107,'State Premium Data'!$A$2:$A$53,0)),"")</f>
        <v>79985</v>
      </c>
      <c r="Q107" s="9" t="n">
        <f aca="false">IFERROR(K107/O107,"")</f>
        <v>0.745362190812721</v>
      </c>
      <c r="R107" s="8" t="n">
        <f aca="false">IFERROR(I107-P107,"")</f>
        <v>23485</v>
      </c>
      <c r="S107" s="10" t="n">
        <f aca="false">IFERROR(R107/P107,"")</f>
        <v>0.293617553291242</v>
      </c>
    </row>
    <row r="108" customFormat="false" ht="15" hidden="false" customHeight="true" outlineLevel="0" collapsed="false">
      <c r="A108" s="3" t="s">
        <v>326</v>
      </c>
      <c r="B108" s="3" t="s">
        <v>70</v>
      </c>
      <c r="C108" s="3" t="s">
        <v>71</v>
      </c>
      <c r="D108" s="5" t="n">
        <v>60.2</v>
      </c>
      <c r="E108" s="6"/>
      <c r="F108" s="7" t="n">
        <v>7637</v>
      </c>
      <c r="G108" s="8" t="n">
        <v>6294</v>
      </c>
      <c r="H108" s="8" t="n">
        <v>16874</v>
      </c>
      <c r="I108" s="8" t="n">
        <v>62696</v>
      </c>
      <c r="J108" s="5" t="n">
        <v>82</v>
      </c>
      <c r="K108" s="8" t="n">
        <v>12000</v>
      </c>
      <c r="L108" s="6" t="n">
        <v>0</v>
      </c>
      <c r="M108" s="3" t="s">
        <v>134</v>
      </c>
      <c r="N108" s="3" t="str">
        <f aca="false">INDEX('State Mapping'!$B$2:$B$53,MATCH(B108,'State Mapping'!$A$2:$A$53,0))</f>
        <v>New York</v>
      </c>
      <c r="O108" s="8" t="n">
        <f aca="false">IFERROR(INDEX('State Premium Data'!$D$2:$D$53,MATCH(N108,'State Premium Data'!$A$2:$A$53,0)),"")</f>
        <v>34733</v>
      </c>
      <c r="P108" s="8" t="n">
        <f aca="false">IFERROR(INDEX('State Premium Data'!$C$2:$C$53,MATCH(N108,'State Premium Data'!$A$2:$A$53,0)),"")</f>
        <v>74504</v>
      </c>
      <c r="Q108" s="9" t="n">
        <f aca="false">IFERROR(K108/O108,"")</f>
        <v>0.345492759047592</v>
      </c>
      <c r="R108" s="8" t="n">
        <f aca="false">IFERROR(I108-P108,"")</f>
        <v>-11808</v>
      </c>
      <c r="S108" s="10" t="n">
        <f aca="false">IFERROR(R108/P108,"")</f>
        <v>-0.158488134865242</v>
      </c>
    </row>
    <row r="109" customFormat="false" ht="15" hidden="false" customHeight="true" outlineLevel="0" collapsed="false">
      <c r="A109" s="3" t="s">
        <v>327</v>
      </c>
      <c r="B109" s="3" t="s">
        <v>78</v>
      </c>
      <c r="C109" s="3" t="s">
        <v>328</v>
      </c>
      <c r="D109" s="5" t="n">
        <v>60.6</v>
      </c>
      <c r="E109" s="6" t="n">
        <v>1337</v>
      </c>
      <c r="F109" s="7" t="n">
        <v>42284</v>
      </c>
      <c r="G109" s="8" t="n">
        <v>20644</v>
      </c>
      <c r="H109" s="8" t="n">
        <v>41790</v>
      </c>
      <c r="I109" s="8" t="n">
        <v>63435</v>
      </c>
      <c r="J109" s="5" t="n">
        <v>85.9</v>
      </c>
      <c r="K109" s="8" t="n">
        <v>25000</v>
      </c>
      <c r="L109" s="6" t="n">
        <v>0</v>
      </c>
      <c r="M109" s="3" t="s">
        <v>134</v>
      </c>
      <c r="N109" s="3" t="str">
        <f aca="false">INDEX('State Mapping'!$B$2:$B$53,MATCH(B109,'State Mapping'!$A$2:$A$53,0))</f>
        <v>Pennsylvania</v>
      </c>
      <c r="O109" s="8" t="n">
        <f aca="false">IFERROR(INDEX('State Premium Data'!$D$2:$D$53,MATCH(N109,'State Premium Data'!$A$2:$A$53,0)),"")</f>
        <v>25342</v>
      </c>
      <c r="P109" s="8" t="n">
        <f aca="false">IFERROR(INDEX('State Premium Data'!$C$2:$C$53,MATCH(N109,'State Premium Data'!$A$2:$A$53,0)),"")</f>
        <v>65678</v>
      </c>
      <c r="Q109" s="9" t="n">
        <f aca="false">IFERROR(K109/O109,"")</f>
        <v>0.986504616841607</v>
      </c>
      <c r="R109" s="8" t="n">
        <f aca="false">IFERROR(I109-P109,"")</f>
        <v>-2243</v>
      </c>
      <c r="S109" s="10" t="n">
        <f aca="false">IFERROR(R109/P109,"")</f>
        <v>-0.0341514662444045</v>
      </c>
    </row>
    <row r="110" customFormat="false" ht="15" hidden="false" customHeight="true" outlineLevel="0" collapsed="false">
      <c r="A110" s="3" t="s">
        <v>329</v>
      </c>
      <c r="B110" s="3" t="s">
        <v>72</v>
      </c>
      <c r="C110" s="3" t="s">
        <v>330</v>
      </c>
      <c r="D110" s="5" t="n">
        <v>60.6</v>
      </c>
      <c r="E110" s="6" t="n">
        <v>1387</v>
      </c>
      <c r="F110" s="7" t="n">
        <v>45638</v>
      </c>
      <c r="G110" s="8" t="n">
        <v>13244</v>
      </c>
      <c r="H110" s="8" t="n">
        <v>40022</v>
      </c>
      <c r="I110" s="8" t="n">
        <v>60409</v>
      </c>
      <c r="J110" s="5" t="n">
        <v>87.7</v>
      </c>
      <c r="K110" s="8" t="n">
        <v>19976</v>
      </c>
      <c r="L110" s="6" t="n">
        <v>0</v>
      </c>
      <c r="M110" s="3" t="s">
        <v>150</v>
      </c>
      <c r="N110" s="3" t="str">
        <f aca="false">INDEX('State Mapping'!$B$2:$B$53,MATCH(B110,'State Mapping'!$A$2:$A$53,0))</f>
        <v>Ohio</v>
      </c>
      <c r="O110" s="8" t="n">
        <f aca="false">IFERROR(INDEX('State Premium Data'!$D$2:$D$53,MATCH(N110,'State Premium Data'!$A$2:$A$53,0)),"")</f>
        <v>26943</v>
      </c>
      <c r="P110" s="8" t="n">
        <f aca="false">IFERROR(INDEX('State Premium Data'!$C$2:$C$53,MATCH(N110,'State Premium Data'!$A$2:$A$53,0)),"")</f>
        <v>64933</v>
      </c>
      <c r="Q110" s="9" t="n">
        <f aca="false">IFERROR(K110/O110,"")</f>
        <v>0.741417065657128</v>
      </c>
      <c r="R110" s="8" t="n">
        <f aca="false">IFERROR(I110-P110,"")</f>
        <v>-4524</v>
      </c>
      <c r="S110" s="10" t="n">
        <f aca="false">IFERROR(R110/P110,"")</f>
        <v>-0.0696718155637349</v>
      </c>
    </row>
    <row r="111" customFormat="false" ht="15" hidden="false" customHeight="true" outlineLevel="0" collapsed="false">
      <c r="A111" s="3" t="s">
        <v>331</v>
      </c>
      <c r="B111" s="3" t="s">
        <v>12</v>
      </c>
      <c r="C111" s="3" t="s">
        <v>332</v>
      </c>
      <c r="D111" s="5" t="n">
        <v>60.7</v>
      </c>
      <c r="E111" s="6" t="n">
        <v>1412</v>
      </c>
      <c r="F111" s="7" t="n">
        <v>6155</v>
      </c>
      <c r="G111" s="8" t="n">
        <v>21914</v>
      </c>
      <c r="H111" s="8" t="n">
        <v>45824</v>
      </c>
      <c r="I111" s="8" t="n">
        <v>97335</v>
      </c>
      <c r="J111" s="5" t="n">
        <v>80.9</v>
      </c>
      <c r="K111" s="8" t="n">
        <v>23000</v>
      </c>
      <c r="L111" s="6" t="n">
        <v>0</v>
      </c>
      <c r="M111" s="3" t="s">
        <v>134</v>
      </c>
      <c r="N111" s="3" t="str">
        <f aca="false">INDEX('State Mapping'!$B$2:$B$53,MATCH(B111,'State Mapping'!$A$2:$A$53,0))</f>
        <v>Colorado</v>
      </c>
      <c r="O111" s="8" t="n">
        <f aca="false">IFERROR(INDEX('State Premium Data'!$D$2:$D$53,MATCH(N111,'State Premium Data'!$A$2:$A$53,0)),"")</f>
        <v>30531</v>
      </c>
      <c r="P111" s="8" t="n">
        <f aca="false">IFERROR(INDEX('State Premium Data'!$C$2:$C$53,MATCH(N111,'State Premium Data'!$A$2:$A$53,0)),"")</f>
        <v>73072</v>
      </c>
      <c r="Q111" s="9" t="n">
        <f aca="false">IFERROR(K111/O111,"")</f>
        <v>0.753332678261439</v>
      </c>
      <c r="R111" s="8" t="n">
        <f aca="false">IFERROR(I111-P111,"")</f>
        <v>24263</v>
      </c>
      <c r="S111" s="10" t="n">
        <f aca="false">IFERROR(R111/P111,"")</f>
        <v>0.332042369170134</v>
      </c>
    </row>
    <row r="112" customFormat="false" ht="15" hidden="false" customHeight="true" outlineLevel="0" collapsed="false">
      <c r="A112" s="3" t="s">
        <v>333</v>
      </c>
      <c r="B112" s="3" t="s">
        <v>70</v>
      </c>
      <c r="C112" s="3" t="s">
        <v>334</v>
      </c>
      <c r="D112" s="5" t="n">
        <v>61.6</v>
      </c>
      <c r="E112" s="6" t="n">
        <v>1265</v>
      </c>
      <c r="F112" s="7" t="n">
        <v>6086</v>
      </c>
      <c r="G112" s="8" t="n">
        <v>8572</v>
      </c>
      <c r="H112" s="8" t="n">
        <v>18822</v>
      </c>
      <c r="I112" s="8" t="n">
        <v>58073</v>
      </c>
      <c r="J112" s="5" t="n">
        <v>70.3</v>
      </c>
      <c r="K112" s="8" t="n">
        <v>18750</v>
      </c>
      <c r="L112" s="6" t="n">
        <v>0</v>
      </c>
      <c r="M112" s="3" t="s">
        <v>134</v>
      </c>
      <c r="N112" s="3" t="str">
        <f aca="false">INDEX('State Mapping'!$B$2:$B$53,MATCH(B112,'State Mapping'!$A$2:$A$53,0))</f>
        <v>New York</v>
      </c>
      <c r="O112" s="8" t="n">
        <f aca="false">IFERROR(INDEX('State Premium Data'!$D$2:$D$53,MATCH(N112,'State Premium Data'!$A$2:$A$53,0)),"")</f>
        <v>34733</v>
      </c>
      <c r="P112" s="8" t="n">
        <f aca="false">IFERROR(INDEX('State Premium Data'!$C$2:$C$53,MATCH(N112,'State Premium Data'!$A$2:$A$53,0)),"")</f>
        <v>74504</v>
      </c>
      <c r="Q112" s="9" t="n">
        <f aca="false">IFERROR(K112/O112,"")</f>
        <v>0.539832436011862</v>
      </c>
      <c r="R112" s="8" t="n">
        <f aca="false">IFERROR(I112-P112,"")</f>
        <v>-16431</v>
      </c>
      <c r="S112" s="10" t="n">
        <f aca="false">IFERROR(R112/P112,"")</f>
        <v>-0.220538494577472</v>
      </c>
    </row>
    <row r="113" customFormat="false" ht="15" hidden="false" customHeight="true" outlineLevel="0" collapsed="false">
      <c r="A113" s="3" t="s">
        <v>335</v>
      </c>
      <c r="B113" s="3" t="s">
        <v>10</v>
      </c>
      <c r="C113" s="3" t="s">
        <v>336</v>
      </c>
      <c r="D113" s="5" t="n">
        <v>61.7</v>
      </c>
      <c r="E113" s="6" t="n">
        <v>1295</v>
      </c>
      <c r="F113" s="7" t="n">
        <v>5287</v>
      </c>
      <c r="G113" s="8" t="n">
        <v>60492</v>
      </c>
      <c r="H113" s="8" t="n">
        <v>60492</v>
      </c>
      <c r="I113" s="8" t="n">
        <v>89812</v>
      </c>
      <c r="J113" s="5" t="n">
        <v>70.6</v>
      </c>
      <c r="K113" s="8" t="n">
        <v>23000</v>
      </c>
      <c r="L113" s="6" t="n">
        <v>0</v>
      </c>
      <c r="M113" s="3" t="s">
        <v>134</v>
      </c>
      <c r="N113" s="3" t="str">
        <f aca="false">INDEX('State Mapping'!$B$2:$B$53,MATCH(B113,'State Mapping'!$A$2:$A$53,0))</f>
        <v>California</v>
      </c>
      <c r="O113" s="8" t="n">
        <f aca="false">IFERROR(INDEX('State Premium Data'!$D$2:$D$53,MATCH(N113,'State Premium Data'!$A$2:$A$53,0)),"")</f>
        <v>37475</v>
      </c>
      <c r="P113" s="8" t="n">
        <f aca="false">IFERROR(INDEX('State Premium Data'!$C$2:$C$53,MATCH(N113,'State Premium Data'!$A$2:$A$53,0)),"")</f>
        <v>78278</v>
      </c>
      <c r="Q113" s="9" t="n">
        <f aca="false">IFERROR(K113/O113,"")</f>
        <v>0.613742494996664</v>
      </c>
      <c r="R113" s="8" t="n">
        <f aca="false">IFERROR(I113-P113,"")</f>
        <v>11534</v>
      </c>
      <c r="S113" s="10" t="n">
        <f aca="false">IFERROR(R113/P113,"")</f>
        <v>0.147346636347377</v>
      </c>
    </row>
    <row r="114" customFormat="false" ht="15" hidden="false" customHeight="true" outlineLevel="0" collapsed="false">
      <c r="A114" s="3" t="s">
        <v>337</v>
      </c>
      <c r="B114" s="3" t="s">
        <v>16</v>
      </c>
      <c r="C114" s="3" t="s">
        <v>99</v>
      </c>
      <c r="D114" s="5" t="n">
        <v>62</v>
      </c>
      <c r="E114" s="6" t="n">
        <v>1381</v>
      </c>
      <c r="F114" s="7" t="n">
        <v>7266</v>
      </c>
      <c r="G114" s="8" t="n">
        <v>58771</v>
      </c>
      <c r="H114" s="8" t="n">
        <v>58771</v>
      </c>
      <c r="I114" s="8" t="n">
        <v>77370</v>
      </c>
      <c r="J114" s="5" t="n">
        <v>77</v>
      </c>
      <c r="K114" s="8" t="n">
        <v>22750</v>
      </c>
      <c r="L114" s="6" t="n">
        <v>0</v>
      </c>
      <c r="M114" s="3" t="s">
        <v>134</v>
      </c>
      <c r="N114" s="3" t="str">
        <f aca="false">INDEX('State Mapping'!$B$2:$B$53,MATCH(B114,'State Mapping'!$A$2:$A$53,0))</f>
        <v>District of Columbia</v>
      </c>
      <c r="O114" s="8" t="n">
        <f aca="false">IFERROR(INDEX('State Premium Data'!$D$2:$D$53,MATCH(N114,'State Premium Data'!$A$2:$A$53,0)),"")</f>
        <v>54913</v>
      </c>
      <c r="P114" s="8" t="n">
        <f aca="false">IFERROR(INDEX('State Premium Data'!$C$2:$C$53,MATCH(N114,'State Premium Data'!$A$2:$A$53,0)),"")</f>
        <v>95628</v>
      </c>
      <c r="Q114" s="9" t="n">
        <f aca="false">IFERROR(K114/O114,"")</f>
        <v>0.414291697776483</v>
      </c>
      <c r="R114" s="8" t="n">
        <f aca="false">IFERROR(I114-P114,"")</f>
        <v>-18258</v>
      </c>
      <c r="S114" s="10" t="n">
        <f aca="false">IFERROR(R114/P114,"")</f>
        <v>-0.190927343455892</v>
      </c>
    </row>
    <row r="115" customFormat="false" ht="15" hidden="false" customHeight="true" outlineLevel="0" collapsed="false">
      <c r="A115" s="3" t="s">
        <v>338</v>
      </c>
      <c r="B115" s="3" t="s">
        <v>64</v>
      </c>
      <c r="C115" s="3" t="s">
        <v>339</v>
      </c>
      <c r="D115" s="5" t="n">
        <v>62.3</v>
      </c>
      <c r="E115" s="6" t="n">
        <v>1246</v>
      </c>
      <c r="F115" s="7" t="n">
        <v>7105</v>
      </c>
      <c r="G115" s="8" t="n">
        <v>19632</v>
      </c>
      <c r="H115" s="8" t="n">
        <v>25752</v>
      </c>
      <c r="I115" s="8" t="n">
        <v>73323</v>
      </c>
      <c r="J115" s="5" t="n">
        <v>85.5</v>
      </c>
      <c r="K115" s="8" t="n">
        <v>23250</v>
      </c>
      <c r="L115" s="6" t="n">
        <v>0</v>
      </c>
      <c r="M115" s="3" t="s">
        <v>134</v>
      </c>
      <c r="N115" s="3" t="str">
        <f aca="false">INDEX('State Mapping'!$B$2:$B$53,MATCH(B115,'State Mapping'!$A$2:$A$53,0))</f>
        <v>New Jersey</v>
      </c>
      <c r="O115" s="8" t="n">
        <f aca="false">IFERROR(INDEX('State Premium Data'!$D$2:$D$53,MATCH(N115,'State Premium Data'!$A$2:$A$53,0)),"")</f>
        <v>38586</v>
      </c>
      <c r="P115" s="8" t="n">
        <f aca="false">IFERROR(INDEX('State Premium Data'!$C$2:$C$53,MATCH(N115,'State Premium Data'!$A$2:$A$53,0)),"")</f>
        <v>80114</v>
      </c>
      <c r="Q115" s="9" t="n">
        <f aca="false">IFERROR(K115/O115,"")</f>
        <v>0.602550147721972</v>
      </c>
      <c r="R115" s="8" t="n">
        <f aca="false">IFERROR(I115-P115,"")</f>
        <v>-6791</v>
      </c>
      <c r="S115" s="10" t="n">
        <f aca="false">IFERROR(R115/P115,"")</f>
        <v>-0.0847667074418953</v>
      </c>
    </row>
    <row r="116" customFormat="false" ht="15" hidden="false" customHeight="true" outlineLevel="0" collapsed="false">
      <c r="A116" s="3" t="s">
        <v>340</v>
      </c>
      <c r="B116" s="3" t="s">
        <v>50</v>
      </c>
      <c r="C116" s="3" t="s">
        <v>341</v>
      </c>
      <c r="D116" s="5" t="n">
        <v>62.7</v>
      </c>
      <c r="E116" s="6" t="n">
        <v>1199</v>
      </c>
      <c r="F116" s="7" t="n">
        <v>5024</v>
      </c>
      <c r="G116" s="8" t="n">
        <v>14112</v>
      </c>
      <c r="H116" s="8" t="n">
        <v>35112</v>
      </c>
      <c r="I116" s="8" t="n">
        <v>53037</v>
      </c>
      <c r="J116" s="5" t="n">
        <v>56.8</v>
      </c>
      <c r="K116" s="8" t="n">
        <v>20000</v>
      </c>
      <c r="L116" s="6" t="n">
        <v>0</v>
      </c>
      <c r="M116" s="3" t="s">
        <v>150</v>
      </c>
      <c r="N116" s="3" t="str">
        <f aca="false">INDEX('State Mapping'!$B$2:$B$53,MATCH(B116,'State Mapping'!$A$2:$A$53,0))</f>
        <v>Missouri</v>
      </c>
      <c r="O116" s="8" t="n">
        <f aca="false">IFERROR(INDEX('State Premium Data'!$D$2:$D$53,MATCH(N116,'State Premium Data'!$A$2:$A$53,0)),"")</f>
        <v>23998</v>
      </c>
      <c r="P116" s="8" t="n">
        <f aca="false">IFERROR(INDEX('State Premium Data'!$C$2:$C$53,MATCH(N116,'State Premium Data'!$A$2:$A$53,0)),"")</f>
        <v>61418</v>
      </c>
      <c r="Q116" s="9" t="n">
        <f aca="false">IFERROR(K116/O116,"")</f>
        <v>0.833402783565297</v>
      </c>
      <c r="R116" s="8" t="n">
        <f aca="false">IFERROR(I116-P116,"")</f>
        <v>-8381</v>
      </c>
      <c r="S116" s="10" t="n">
        <f aca="false">IFERROR(R116/P116,"")</f>
        <v>-0.1364583672539</v>
      </c>
    </row>
    <row r="117" customFormat="false" ht="15" hidden="false" customHeight="true" outlineLevel="0" collapsed="false">
      <c r="A117" s="3" t="s">
        <v>342</v>
      </c>
      <c r="B117" s="3" t="s">
        <v>70</v>
      </c>
      <c r="C117" s="3" t="s">
        <v>343</v>
      </c>
      <c r="D117" s="5" t="n">
        <v>63.3</v>
      </c>
      <c r="E117" s="6" t="n">
        <v>1147</v>
      </c>
      <c r="F117" s="7" t="n">
        <v>9552</v>
      </c>
      <c r="G117" s="8" t="n">
        <v>8626</v>
      </c>
      <c r="H117" s="8" t="n">
        <v>18536</v>
      </c>
      <c r="I117" s="8" t="n">
        <v>69781</v>
      </c>
      <c r="J117" s="5" t="n">
        <v>54.9</v>
      </c>
      <c r="K117" s="8" t="n">
        <v>14718</v>
      </c>
      <c r="L117" s="6" t="n">
        <v>0</v>
      </c>
      <c r="M117" s="3" t="s">
        <v>134</v>
      </c>
      <c r="N117" s="3" t="str">
        <f aca="false">INDEX('State Mapping'!$B$2:$B$53,MATCH(B117,'State Mapping'!$A$2:$A$53,0))</f>
        <v>New York</v>
      </c>
      <c r="O117" s="8" t="n">
        <f aca="false">IFERROR(INDEX('State Premium Data'!$D$2:$D$53,MATCH(N117,'State Premium Data'!$A$2:$A$53,0)),"")</f>
        <v>34733</v>
      </c>
      <c r="P117" s="8" t="n">
        <f aca="false">IFERROR(INDEX('State Premium Data'!$C$2:$C$53,MATCH(N117,'State Premium Data'!$A$2:$A$53,0)),"")</f>
        <v>74504</v>
      </c>
      <c r="Q117" s="9" t="n">
        <f aca="false">IFERROR(K117/O117,"")</f>
        <v>0.423746868971871</v>
      </c>
      <c r="R117" s="8" t="n">
        <f aca="false">IFERROR(I117-P117,"")</f>
        <v>-4723</v>
      </c>
      <c r="S117" s="10" t="n">
        <f aca="false">IFERROR(R117/P117,"")</f>
        <v>-0.0633925695264684</v>
      </c>
    </row>
    <row r="118" customFormat="false" ht="15" hidden="false" customHeight="true" outlineLevel="0" collapsed="false">
      <c r="A118" s="3" t="s">
        <v>344</v>
      </c>
      <c r="B118" s="3" t="s">
        <v>90</v>
      </c>
      <c r="C118" s="3" t="s">
        <v>345</v>
      </c>
      <c r="D118" s="5" t="n">
        <v>63.3</v>
      </c>
      <c r="E118" s="6" t="n">
        <v>1428</v>
      </c>
      <c r="F118" s="7" t="n">
        <v>7277</v>
      </c>
      <c r="G118" s="8" t="n">
        <v>67040</v>
      </c>
      <c r="H118" s="8" t="n">
        <v>67040</v>
      </c>
      <c r="I118" s="8" t="n">
        <v>78354</v>
      </c>
      <c r="J118" s="5" t="n">
        <v>83.8</v>
      </c>
      <c r="K118" s="8" t="n">
        <v>19500</v>
      </c>
      <c r="L118" s="6" t="n">
        <v>0</v>
      </c>
      <c r="M118" s="3" t="s">
        <v>150</v>
      </c>
      <c r="N118" s="3" t="str">
        <f aca="false">INDEX('State Mapping'!$B$2:$B$53,MATCH(B118,'State Mapping'!$A$2:$A$53,0))</f>
        <v>Texas</v>
      </c>
      <c r="O118" s="8" t="n">
        <f aca="false">IFERROR(INDEX('State Premium Data'!$D$2:$D$53,MATCH(N118,'State Premium Data'!$A$2:$A$53,0)),"")</f>
        <v>29388</v>
      </c>
      <c r="P118" s="8" t="n">
        <f aca="false">IFERROR(INDEX('State Premium Data'!$C$2:$C$53,MATCH(N118,'State Premium Data'!$A$2:$A$53,0)),"")</f>
        <v>66474</v>
      </c>
      <c r="Q118" s="9" t="n">
        <f aca="false">IFERROR(K118/O118,"")</f>
        <v>0.663536137198857</v>
      </c>
      <c r="R118" s="8" t="n">
        <f aca="false">IFERROR(I118-P118,"")</f>
        <v>11880</v>
      </c>
      <c r="S118" s="10" t="n">
        <f aca="false">IFERROR(R118/P118,"")</f>
        <v>0.178716490658002</v>
      </c>
    </row>
    <row r="119" customFormat="false" ht="15" hidden="false" customHeight="true" outlineLevel="0" collapsed="false">
      <c r="A119" s="3" t="s">
        <v>346</v>
      </c>
      <c r="B119" s="3" t="s">
        <v>20</v>
      </c>
      <c r="C119" s="3" t="s">
        <v>347</v>
      </c>
      <c r="D119" s="5" t="n">
        <v>63.4</v>
      </c>
      <c r="E119" s="6" t="n">
        <v>1114</v>
      </c>
      <c r="F119" s="7" t="n">
        <v>13874</v>
      </c>
      <c r="G119" s="8" t="n">
        <v>6118</v>
      </c>
      <c r="H119" s="8" t="n">
        <v>25162</v>
      </c>
      <c r="I119" s="8" t="n">
        <v>54560</v>
      </c>
      <c r="J119" s="5" t="n">
        <v>56.7</v>
      </c>
      <c r="K119" s="8" t="n">
        <v>17622</v>
      </c>
      <c r="L119" s="6" t="n">
        <v>0</v>
      </c>
      <c r="M119" s="3" t="s">
        <v>134</v>
      </c>
      <c r="N119" s="3" t="str">
        <f aca="false">INDEX('State Mapping'!$B$2:$B$53,MATCH(B119,'State Mapping'!$A$2:$A$53,0))</f>
        <v>Florida</v>
      </c>
      <c r="O119" s="8" t="n">
        <f aca="false">IFERROR(INDEX('State Premium Data'!$D$2:$D$53,MATCH(N119,'State Premium Data'!$A$2:$A$53,0)),"")</f>
        <v>21625</v>
      </c>
      <c r="P119" s="8" t="n">
        <f aca="false">IFERROR(INDEX('State Premium Data'!$C$2:$C$53,MATCH(N119,'State Premium Data'!$A$2:$A$53,0)),"")</f>
        <v>58009</v>
      </c>
      <c r="Q119" s="9" t="n">
        <f aca="false">IFERROR(K119/O119,"")</f>
        <v>0.814890173410405</v>
      </c>
      <c r="R119" s="8" t="n">
        <f aca="false">IFERROR(I119-P119,"")</f>
        <v>-3449</v>
      </c>
      <c r="S119" s="10" t="n">
        <f aca="false">IFERROR(R119/P119,"")</f>
        <v>-0.0594562912651485</v>
      </c>
    </row>
    <row r="120" customFormat="false" ht="15" hidden="false" customHeight="true" outlineLevel="0" collapsed="false">
      <c r="A120" s="3" t="s">
        <v>348</v>
      </c>
      <c r="B120" s="3" t="s">
        <v>70</v>
      </c>
      <c r="C120" s="3" t="s">
        <v>71</v>
      </c>
      <c r="D120" s="5" t="n">
        <v>63.5</v>
      </c>
      <c r="E120" s="6"/>
      <c r="F120" s="7" t="n">
        <v>6563</v>
      </c>
      <c r="G120" s="8" t="n">
        <v>58694</v>
      </c>
      <c r="H120" s="8" t="n">
        <v>58694</v>
      </c>
      <c r="I120" s="8" t="n">
        <v>52901</v>
      </c>
      <c r="J120" s="5" t="n">
        <v>70.2</v>
      </c>
      <c r="K120" s="8" t="n">
        <v>22266</v>
      </c>
      <c r="L120" s="6" t="n">
        <v>0</v>
      </c>
      <c r="M120" s="3" t="s">
        <v>134</v>
      </c>
      <c r="N120" s="3" t="str">
        <f aca="false">INDEX('State Mapping'!$B$2:$B$53,MATCH(B120,'State Mapping'!$A$2:$A$53,0))</f>
        <v>New York</v>
      </c>
      <c r="O120" s="8" t="n">
        <f aca="false">IFERROR(INDEX('State Premium Data'!$D$2:$D$53,MATCH(N120,'State Premium Data'!$A$2:$A$53,0)),"")</f>
        <v>34733</v>
      </c>
      <c r="P120" s="8" t="n">
        <f aca="false">IFERROR(INDEX('State Premium Data'!$C$2:$C$53,MATCH(N120,'State Premium Data'!$A$2:$A$53,0)),"")</f>
        <v>74504</v>
      </c>
      <c r="Q120" s="9" t="n">
        <f aca="false">IFERROR(K120/O120,"")</f>
        <v>0.641061814412806</v>
      </c>
      <c r="R120" s="8" t="n">
        <f aca="false">IFERROR(I120-P120,"")</f>
        <v>-21603</v>
      </c>
      <c r="S120" s="10" t="n">
        <f aca="false">IFERROR(R120/P120,"")</f>
        <v>-0.28995758616987</v>
      </c>
    </row>
    <row r="121" customFormat="false" ht="15" hidden="false" customHeight="true" outlineLevel="0" collapsed="false">
      <c r="A121" s="3" t="s">
        <v>349</v>
      </c>
      <c r="B121" s="3" t="s">
        <v>70</v>
      </c>
      <c r="C121" s="3" t="s">
        <v>350</v>
      </c>
      <c r="D121" s="5" t="n">
        <v>63.5</v>
      </c>
      <c r="E121" s="6" t="n">
        <v>1456</v>
      </c>
      <c r="F121" s="7" t="n">
        <v>5714</v>
      </c>
      <c r="G121" s="8" t="n">
        <v>64081</v>
      </c>
      <c r="H121" s="8" t="n">
        <v>64081</v>
      </c>
      <c r="I121" s="8" t="n">
        <v>102051</v>
      </c>
      <c r="J121" s="5" t="n">
        <v>83.4</v>
      </c>
      <c r="K121" s="8" t="n">
        <v>23750</v>
      </c>
      <c r="L121" s="6" t="n">
        <v>0</v>
      </c>
      <c r="M121" s="3" t="s">
        <v>134</v>
      </c>
      <c r="N121" s="3" t="str">
        <f aca="false">INDEX('State Mapping'!$B$2:$B$53,MATCH(B121,'State Mapping'!$A$2:$A$53,0))</f>
        <v>New York</v>
      </c>
      <c r="O121" s="8" t="n">
        <f aca="false">IFERROR(INDEX('State Premium Data'!$D$2:$D$53,MATCH(N121,'State Premium Data'!$A$2:$A$53,0)),"")</f>
        <v>34733</v>
      </c>
      <c r="P121" s="8" t="n">
        <f aca="false">IFERROR(INDEX('State Premium Data'!$C$2:$C$53,MATCH(N121,'State Premium Data'!$A$2:$A$53,0)),"")</f>
        <v>74504</v>
      </c>
      <c r="Q121" s="9" t="n">
        <f aca="false">IFERROR(K121/O121,"")</f>
        <v>0.683787752281692</v>
      </c>
      <c r="R121" s="8" t="n">
        <f aca="false">IFERROR(I121-P121,"")</f>
        <v>27547</v>
      </c>
      <c r="S121" s="10" t="n">
        <f aca="false">IFERROR(R121/P121,"")</f>
        <v>0.369738537528186</v>
      </c>
    </row>
    <row r="122" customFormat="false" ht="15" hidden="false" customHeight="true" outlineLevel="0" collapsed="false">
      <c r="A122" s="3" t="s">
        <v>351</v>
      </c>
      <c r="B122" s="3" t="s">
        <v>50</v>
      </c>
      <c r="C122" s="3" t="s">
        <v>352</v>
      </c>
      <c r="D122" s="5" t="n">
        <v>63.8</v>
      </c>
      <c r="E122" s="6" t="n">
        <v>1050</v>
      </c>
      <c r="F122" s="7" t="n">
        <v>5648</v>
      </c>
      <c r="G122" s="8" t="n">
        <v>10050</v>
      </c>
      <c r="H122" s="8" t="n">
        <v>18600</v>
      </c>
      <c r="I122" s="8" t="n">
        <v>49560</v>
      </c>
      <c r="J122" s="5" t="n">
        <v>51.6</v>
      </c>
      <c r="K122" s="8" t="n">
        <v>21000</v>
      </c>
      <c r="L122" s="6" t="n">
        <v>0</v>
      </c>
      <c r="M122" s="3" t="s">
        <v>134</v>
      </c>
      <c r="N122" s="3" t="str">
        <f aca="false">INDEX('State Mapping'!$B$2:$B$53,MATCH(B122,'State Mapping'!$A$2:$A$53,0))</f>
        <v>Missouri</v>
      </c>
      <c r="O122" s="8" t="n">
        <f aca="false">IFERROR(INDEX('State Premium Data'!$D$2:$D$53,MATCH(N122,'State Premium Data'!$A$2:$A$53,0)),"")</f>
        <v>23998</v>
      </c>
      <c r="P122" s="8" t="n">
        <f aca="false">IFERROR(INDEX('State Premium Data'!$C$2:$C$53,MATCH(N122,'State Premium Data'!$A$2:$A$53,0)),"")</f>
        <v>61418</v>
      </c>
      <c r="Q122" s="9" t="n">
        <f aca="false">IFERROR(K122/O122,"")</f>
        <v>0.875072922743562</v>
      </c>
      <c r="R122" s="8" t="n">
        <f aca="false">IFERROR(I122-P122,"")</f>
        <v>-11858</v>
      </c>
      <c r="S122" s="10" t="n">
        <f aca="false">IFERROR(R122/P122,"")</f>
        <v>-0.193070435377251</v>
      </c>
    </row>
    <row r="123" customFormat="false" ht="15" hidden="false" customHeight="true" outlineLevel="0" collapsed="false">
      <c r="A123" s="3" t="s">
        <v>353</v>
      </c>
      <c r="B123" s="3" t="s">
        <v>56</v>
      </c>
      <c r="C123" s="3" t="s">
        <v>354</v>
      </c>
      <c r="D123" s="5" t="n">
        <v>64.2</v>
      </c>
      <c r="E123" s="6" t="n">
        <v>1287</v>
      </c>
      <c r="F123" s="7" t="n">
        <v>14922</v>
      </c>
      <c r="G123" s="8" t="n">
        <v>7277</v>
      </c>
      <c r="H123" s="8" t="n">
        <v>24152</v>
      </c>
      <c r="I123" s="8" t="n">
        <v>54967</v>
      </c>
      <c r="J123" s="5" t="n">
        <v>70.7</v>
      </c>
      <c r="K123" s="8" t="n">
        <v>19500</v>
      </c>
      <c r="L123" s="6" t="n">
        <v>0</v>
      </c>
      <c r="M123" s="3" t="s">
        <v>134</v>
      </c>
      <c r="N123" s="3" t="str">
        <f aca="false">INDEX('State Mapping'!$B$2:$B$53,MATCH(B123,'State Mapping'!$A$2:$A$53,0))</f>
        <v>North Carolina</v>
      </c>
      <c r="O123" s="8" t="n">
        <f aca="false">IFERROR(INDEX('State Premium Data'!$D$2:$D$53,MATCH(N123,'State Premium Data'!$A$2:$A$53,0)),"")</f>
        <v>25615</v>
      </c>
      <c r="P123" s="8" t="n">
        <f aca="false">IFERROR(INDEX('State Premium Data'!$C$2:$C$53,MATCH(N123,'State Premium Data'!$A$2:$A$53,0)),"")</f>
        <v>62338</v>
      </c>
      <c r="Q123" s="9" t="n">
        <f aca="false">IFERROR(K123/O123,"")</f>
        <v>0.761272691782159</v>
      </c>
      <c r="R123" s="8" t="n">
        <f aca="false">IFERROR(I123-P123,"")</f>
        <v>-7371</v>
      </c>
      <c r="S123" s="10" t="n">
        <f aca="false">IFERROR(R123/P123,"")</f>
        <v>-0.118242484519876</v>
      </c>
    </row>
    <row r="124" customFormat="false" ht="15" hidden="false" customHeight="true" outlineLevel="0" collapsed="false">
      <c r="A124" s="3" t="s">
        <v>355</v>
      </c>
      <c r="B124" s="3" t="s">
        <v>70</v>
      </c>
      <c r="C124" s="3" t="s">
        <v>356</v>
      </c>
      <c r="D124" s="5" t="n">
        <v>64.3</v>
      </c>
      <c r="E124" s="6" t="n">
        <v>1120</v>
      </c>
      <c r="F124" s="7" t="n">
        <v>12550</v>
      </c>
      <c r="G124" s="8" t="n">
        <v>7538</v>
      </c>
      <c r="H124" s="8" t="n">
        <v>15488</v>
      </c>
      <c r="I124" s="8" t="n">
        <v>62763</v>
      </c>
      <c r="J124" s="5" t="n">
        <v>56.4</v>
      </c>
      <c r="K124" s="8" t="n">
        <v>10298</v>
      </c>
      <c r="L124" s="6" t="n">
        <v>0</v>
      </c>
      <c r="M124" s="3" t="s">
        <v>134</v>
      </c>
      <c r="N124" s="3" t="str">
        <f aca="false">INDEX('State Mapping'!$B$2:$B$53,MATCH(B124,'State Mapping'!$A$2:$A$53,0))</f>
        <v>New York</v>
      </c>
      <c r="O124" s="8" t="n">
        <f aca="false">IFERROR(INDEX('State Premium Data'!$D$2:$D$53,MATCH(N124,'State Premium Data'!$A$2:$A$53,0)),"")</f>
        <v>34733</v>
      </c>
      <c r="P124" s="8" t="n">
        <f aca="false">IFERROR(INDEX('State Premium Data'!$C$2:$C$53,MATCH(N124,'State Premium Data'!$A$2:$A$53,0)),"")</f>
        <v>74504</v>
      </c>
      <c r="Q124" s="9" t="n">
        <f aca="false">IFERROR(K124/O124,"")</f>
        <v>0.296490369389342</v>
      </c>
      <c r="R124" s="8" t="n">
        <f aca="false">IFERROR(I124-P124,"")</f>
        <v>-11741</v>
      </c>
      <c r="S124" s="10" t="n">
        <f aca="false">IFERROR(R124/P124,"")</f>
        <v>-0.157588854289703</v>
      </c>
    </row>
    <row r="125" customFormat="false" ht="15" hidden="false" customHeight="true" outlineLevel="0" collapsed="false">
      <c r="A125" s="3" t="s">
        <v>357</v>
      </c>
      <c r="B125" s="3" t="s">
        <v>20</v>
      </c>
      <c r="C125" s="3" t="s">
        <v>302</v>
      </c>
      <c r="D125" s="5" t="n">
        <v>64.8</v>
      </c>
      <c r="E125" s="6" t="n">
        <v>1257</v>
      </c>
      <c r="F125" s="7" t="n">
        <v>7860</v>
      </c>
      <c r="G125" s="8" t="n">
        <v>44249</v>
      </c>
      <c r="H125" s="8" t="n">
        <v>44249</v>
      </c>
      <c r="I125" s="8" t="n">
        <v>84131</v>
      </c>
      <c r="J125" s="5" t="n">
        <v>67</v>
      </c>
      <c r="K125" s="8" t="n">
        <v>23666</v>
      </c>
      <c r="L125" s="6" t="n">
        <v>0</v>
      </c>
      <c r="M125" s="3" t="s">
        <v>134</v>
      </c>
      <c r="N125" s="3" t="str">
        <f aca="false">INDEX('State Mapping'!$B$2:$B$53,MATCH(B125,'State Mapping'!$A$2:$A$53,0))</f>
        <v>Florida</v>
      </c>
      <c r="O125" s="8" t="n">
        <f aca="false">IFERROR(INDEX('State Premium Data'!$D$2:$D$53,MATCH(N125,'State Premium Data'!$A$2:$A$53,0)),"")</f>
        <v>21625</v>
      </c>
      <c r="P125" s="8" t="n">
        <f aca="false">IFERROR(INDEX('State Premium Data'!$C$2:$C$53,MATCH(N125,'State Premium Data'!$A$2:$A$53,0)),"")</f>
        <v>58009</v>
      </c>
      <c r="Q125" s="9" t="n">
        <f aca="false">IFERROR(K125/O125,"")</f>
        <v>1.09438150289017</v>
      </c>
      <c r="R125" s="8" t="n">
        <f aca="false">IFERROR(I125-P125,"")</f>
        <v>26122</v>
      </c>
      <c r="S125" s="10" t="n">
        <f aca="false">IFERROR(R125/P125,"")</f>
        <v>0.450309434742885</v>
      </c>
    </row>
    <row r="126" customFormat="false" ht="15" hidden="false" customHeight="true" outlineLevel="0" collapsed="false">
      <c r="A126" s="3" t="s">
        <v>358</v>
      </c>
      <c r="B126" s="3" t="s">
        <v>64</v>
      </c>
      <c r="C126" s="3" t="s">
        <v>359</v>
      </c>
      <c r="D126" s="5" t="n">
        <v>65.1</v>
      </c>
      <c r="E126" s="6" t="n">
        <v>1337</v>
      </c>
      <c r="F126" s="7" t="n">
        <v>9019</v>
      </c>
      <c r="G126" s="8" t="n">
        <v>19974</v>
      </c>
      <c r="H126" s="8" t="n">
        <v>37664</v>
      </c>
      <c r="I126" s="8" t="n">
        <v>84276</v>
      </c>
      <c r="J126" s="5" t="n">
        <v>72.9</v>
      </c>
      <c r="K126" s="8" t="n">
        <v>21000</v>
      </c>
      <c r="L126" s="6" t="n">
        <v>0</v>
      </c>
      <c r="M126" s="3" t="s">
        <v>134</v>
      </c>
      <c r="N126" s="3" t="str">
        <f aca="false">INDEX('State Mapping'!$B$2:$B$53,MATCH(B126,'State Mapping'!$A$2:$A$53,0))</f>
        <v>New Jersey</v>
      </c>
      <c r="O126" s="8" t="n">
        <f aca="false">IFERROR(INDEX('State Premium Data'!$D$2:$D$53,MATCH(N126,'State Premium Data'!$A$2:$A$53,0)),"")</f>
        <v>38586</v>
      </c>
      <c r="P126" s="8" t="n">
        <f aca="false">IFERROR(INDEX('State Premium Data'!$C$2:$C$53,MATCH(N126,'State Premium Data'!$A$2:$A$53,0)),"")</f>
        <v>80114</v>
      </c>
      <c r="Q126" s="9" t="n">
        <f aca="false">IFERROR(K126/O126,"")</f>
        <v>0.544238843103716</v>
      </c>
      <c r="R126" s="8" t="n">
        <f aca="false">IFERROR(I126-P126,"")</f>
        <v>4162</v>
      </c>
      <c r="S126" s="10" t="n">
        <f aca="false">IFERROR(R126/P126,"")</f>
        <v>0.0519509698679382</v>
      </c>
    </row>
    <row r="127" customFormat="false" ht="15" hidden="false" customHeight="true" outlineLevel="0" collapsed="false">
      <c r="A127" s="3" t="s">
        <v>360</v>
      </c>
      <c r="B127" s="3" t="s">
        <v>90</v>
      </c>
      <c r="C127" s="3" t="s">
        <v>361</v>
      </c>
      <c r="D127" s="5" t="n">
        <v>65.1</v>
      </c>
      <c r="E127" s="6" t="n">
        <v>1286</v>
      </c>
      <c r="F127" s="7" t="n">
        <v>21751</v>
      </c>
      <c r="G127" s="8" t="n">
        <v>14644</v>
      </c>
      <c r="H127" s="8" t="n">
        <v>40144</v>
      </c>
      <c r="I127" s="8" t="n">
        <v>68227</v>
      </c>
      <c r="J127" s="5" t="n">
        <v>75.3</v>
      </c>
      <c r="K127" s="8" t="n">
        <v>18000</v>
      </c>
      <c r="L127" s="6" t="n">
        <v>0</v>
      </c>
      <c r="M127" s="3" t="s">
        <v>134</v>
      </c>
      <c r="N127" s="3" t="str">
        <f aca="false">INDEX('State Mapping'!$B$2:$B$53,MATCH(B127,'State Mapping'!$A$2:$A$53,0))</f>
        <v>Texas</v>
      </c>
      <c r="O127" s="8" t="n">
        <f aca="false">IFERROR(INDEX('State Premium Data'!$D$2:$D$53,MATCH(N127,'State Premium Data'!$A$2:$A$53,0)),"")</f>
        <v>29388</v>
      </c>
      <c r="P127" s="8" t="n">
        <f aca="false">IFERROR(INDEX('State Premium Data'!$C$2:$C$53,MATCH(N127,'State Premium Data'!$A$2:$A$53,0)),"")</f>
        <v>66474</v>
      </c>
      <c r="Q127" s="9" t="n">
        <f aca="false">IFERROR(K127/O127,"")</f>
        <v>0.612494895875868</v>
      </c>
      <c r="R127" s="8" t="n">
        <f aca="false">IFERROR(I127-P127,"")</f>
        <v>1753</v>
      </c>
      <c r="S127" s="10" t="n">
        <f aca="false">IFERROR(R127/P127,"")</f>
        <v>0.0263712128050065</v>
      </c>
    </row>
    <row r="128" customFormat="false" ht="15" hidden="false" customHeight="true" outlineLevel="0" collapsed="false">
      <c r="A128" s="3" t="s">
        <v>362</v>
      </c>
      <c r="B128" s="3" t="s">
        <v>96</v>
      </c>
      <c r="C128" s="3" t="s">
        <v>363</v>
      </c>
      <c r="D128" s="5" t="n">
        <v>65.3</v>
      </c>
      <c r="E128" s="6" t="n">
        <v>1374</v>
      </c>
      <c r="F128" s="7" t="n">
        <v>11743</v>
      </c>
      <c r="G128" s="8" t="n">
        <v>19058</v>
      </c>
      <c r="H128" s="8" t="n">
        <v>45502</v>
      </c>
      <c r="I128" s="8" t="n">
        <v>62472</v>
      </c>
      <c r="J128" s="5" t="n">
        <v>78.6</v>
      </c>
      <c r="K128" s="8" t="n">
        <v>20951</v>
      </c>
      <c r="L128" s="6" t="n">
        <v>0</v>
      </c>
      <c r="M128" s="3" t="s">
        <v>134</v>
      </c>
      <c r="N128" s="3" t="str">
        <f aca="false">INDEX('State Mapping'!$B$2:$B$53,MATCH(B128,'State Mapping'!$A$2:$A$53,0))</f>
        <v>Vermont</v>
      </c>
      <c r="O128" s="8" t="n">
        <f aca="false">IFERROR(INDEX('State Premium Data'!$D$2:$D$53,MATCH(N128,'State Premium Data'!$A$2:$A$53,0)),"")</f>
        <v>12931</v>
      </c>
      <c r="P128" s="8" t="n">
        <f aca="false">IFERROR(INDEX('State Premium Data'!$C$2:$C$53,MATCH(N128,'State Premium Data'!$A$2:$A$53,0)),"")</f>
        <v>56741</v>
      </c>
      <c r="Q128" s="9" t="n">
        <f aca="false">IFERROR(K128/O128,"")</f>
        <v>1.62021498723997</v>
      </c>
      <c r="R128" s="8" t="n">
        <f aca="false">IFERROR(I128-P128,"")</f>
        <v>5731</v>
      </c>
      <c r="S128" s="10" t="n">
        <f aca="false">IFERROR(R128/P128,"")</f>
        <v>0.101002802206517</v>
      </c>
    </row>
    <row r="129" customFormat="false" ht="15" hidden="false" customHeight="true" outlineLevel="0" collapsed="false">
      <c r="A129" s="3" t="s">
        <v>364</v>
      </c>
      <c r="B129" s="3" t="s">
        <v>14</v>
      </c>
      <c r="C129" s="3" t="s">
        <v>214</v>
      </c>
      <c r="D129" s="5" t="n">
        <v>65.4</v>
      </c>
      <c r="E129" s="6"/>
      <c r="F129" s="7" t="n">
        <v>7087</v>
      </c>
      <c r="G129" s="8" t="n">
        <v>50404</v>
      </c>
      <c r="H129" s="8" t="n">
        <v>50404</v>
      </c>
      <c r="I129" s="8" t="n">
        <v>75059</v>
      </c>
      <c r="J129" s="5" t="n">
        <v>74</v>
      </c>
      <c r="K129" s="8" t="n">
        <v>25000</v>
      </c>
      <c r="L129" s="6" t="n">
        <v>0</v>
      </c>
      <c r="M129" s="3" t="s">
        <v>134</v>
      </c>
      <c r="N129" s="3" t="str">
        <f aca="false">INDEX('State Mapping'!$B$2:$B$53,MATCH(B129,'State Mapping'!$A$2:$A$53,0))</f>
        <v>Connecticut</v>
      </c>
      <c r="O129" s="8" t="n">
        <f aca="false">IFERROR(INDEX('State Premium Data'!$D$2:$D$53,MATCH(N129,'State Premium Data'!$A$2:$A$53,0)),"")</f>
        <v>33855</v>
      </c>
      <c r="P129" s="8" t="n">
        <f aca="false">IFERROR(INDEX('State Premium Data'!$C$2:$C$53,MATCH(N129,'State Premium Data'!$A$2:$A$53,0)),"")</f>
        <v>75975</v>
      </c>
      <c r="Q129" s="9" t="n">
        <f aca="false">IFERROR(K129/O129,"")</f>
        <v>0.738443361394181</v>
      </c>
      <c r="R129" s="8" t="n">
        <f aca="false">IFERROR(I129-P129,"")</f>
        <v>-916</v>
      </c>
      <c r="S129" s="10" t="n">
        <f aca="false">IFERROR(R129/P129,"")</f>
        <v>-0.0120565975649885</v>
      </c>
    </row>
    <row r="130" customFormat="false" ht="15" hidden="false" customHeight="true" outlineLevel="0" collapsed="false">
      <c r="A130" s="3" t="s">
        <v>365</v>
      </c>
      <c r="B130" s="3" t="s">
        <v>10</v>
      </c>
      <c r="C130" s="3" t="s">
        <v>366</v>
      </c>
      <c r="D130" s="5" t="n">
        <v>65.4</v>
      </c>
      <c r="E130" s="6" t="n">
        <v>1357</v>
      </c>
      <c r="F130" s="7" t="n">
        <v>7478</v>
      </c>
      <c r="G130" s="8" t="n">
        <v>64984</v>
      </c>
      <c r="H130" s="8" t="n">
        <v>64984</v>
      </c>
      <c r="I130" s="8" t="n">
        <v>70070</v>
      </c>
      <c r="J130" s="5" t="n">
        <v>81.1</v>
      </c>
      <c r="K130" s="8" t="n">
        <v>20500</v>
      </c>
      <c r="L130" s="6" t="n">
        <v>0</v>
      </c>
      <c r="M130" s="3" t="s">
        <v>134</v>
      </c>
      <c r="N130" s="3" t="str">
        <f aca="false">INDEX('State Mapping'!$B$2:$B$53,MATCH(B130,'State Mapping'!$A$2:$A$53,0))</f>
        <v>California</v>
      </c>
      <c r="O130" s="8" t="n">
        <f aca="false">IFERROR(INDEX('State Premium Data'!$D$2:$D$53,MATCH(N130,'State Premium Data'!$A$2:$A$53,0)),"")</f>
        <v>37475</v>
      </c>
      <c r="P130" s="8" t="n">
        <f aca="false">IFERROR(INDEX('State Premium Data'!$C$2:$C$53,MATCH(N130,'State Premium Data'!$A$2:$A$53,0)),"")</f>
        <v>78278</v>
      </c>
      <c r="Q130" s="9" t="n">
        <f aca="false">IFERROR(K130/O130,"")</f>
        <v>0.547031354236158</v>
      </c>
      <c r="R130" s="8" t="n">
        <f aca="false">IFERROR(I130-P130,"")</f>
        <v>-8208</v>
      </c>
      <c r="S130" s="10" t="n">
        <f aca="false">IFERROR(R130/P130,"")</f>
        <v>-0.10485704795728</v>
      </c>
    </row>
    <row r="131" customFormat="false" ht="15" hidden="false" customHeight="true" outlineLevel="0" collapsed="false">
      <c r="A131" s="3" t="s">
        <v>367</v>
      </c>
      <c r="B131" s="3" t="s">
        <v>72</v>
      </c>
      <c r="C131" s="3" t="s">
        <v>368</v>
      </c>
      <c r="D131" s="5" t="n">
        <v>65.5</v>
      </c>
      <c r="E131" s="6" t="n">
        <v>1335</v>
      </c>
      <c r="F131" s="7" t="n">
        <v>7682</v>
      </c>
      <c r="G131" s="8" t="n">
        <v>49140</v>
      </c>
      <c r="H131" s="8" t="n">
        <v>49140</v>
      </c>
      <c r="I131" s="8" t="n">
        <v>75537</v>
      </c>
      <c r="J131" s="5" t="n">
        <v>80.9</v>
      </c>
      <c r="K131" s="8" t="n">
        <v>23250</v>
      </c>
      <c r="L131" s="6" t="n">
        <v>0</v>
      </c>
      <c r="M131" s="3" t="s">
        <v>134</v>
      </c>
      <c r="N131" s="3" t="str">
        <f aca="false">INDEX('State Mapping'!$B$2:$B$53,MATCH(B131,'State Mapping'!$A$2:$A$53,0))</f>
        <v>Ohio</v>
      </c>
      <c r="O131" s="8" t="n">
        <f aca="false">IFERROR(INDEX('State Premium Data'!$D$2:$D$53,MATCH(N131,'State Premium Data'!$A$2:$A$53,0)),"")</f>
        <v>26943</v>
      </c>
      <c r="P131" s="8" t="n">
        <f aca="false">IFERROR(INDEX('State Premium Data'!$C$2:$C$53,MATCH(N131,'State Premium Data'!$A$2:$A$53,0)),"")</f>
        <v>64933</v>
      </c>
      <c r="Q131" s="9" t="n">
        <f aca="false">IFERROR(K131/O131,"")</f>
        <v>0.862932858256319</v>
      </c>
      <c r="R131" s="8" t="n">
        <f aca="false">IFERROR(I131-P131,"")</f>
        <v>10604</v>
      </c>
      <c r="S131" s="10" t="n">
        <f aca="false">IFERROR(R131/P131,"")</f>
        <v>0.163306793156022</v>
      </c>
    </row>
    <row r="132" customFormat="false" ht="15" hidden="false" customHeight="true" outlineLevel="0" collapsed="false">
      <c r="A132" s="3" t="s">
        <v>369</v>
      </c>
      <c r="B132" s="3" t="s">
        <v>10</v>
      </c>
      <c r="C132" s="3" t="s">
        <v>370</v>
      </c>
      <c r="D132" s="5" t="n">
        <v>65.8</v>
      </c>
      <c r="E132" s="6"/>
      <c r="F132" s="7" t="n">
        <v>17940</v>
      </c>
      <c r="G132" s="8" t="n">
        <v>16005</v>
      </c>
      <c r="H132" s="8" t="n">
        <v>50205</v>
      </c>
      <c r="I132" s="8" t="n">
        <v>68396</v>
      </c>
      <c r="J132" s="5" t="n">
        <v>74.8</v>
      </c>
      <c r="K132" s="8" t="n">
        <v>16666</v>
      </c>
      <c r="L132" s="6" t="n">
        <v>43</v>
      </c>
      <c r="M132" s="3" t="s">
        <v>150</v>
      </c>
      <c r="N132" s="3" t="str">
        <f aca="false">INDEX('State Mapping'!$B$2:$B$53,MATCH(B132,'State Mapping'!$A$2:$A$53,0))</f>
        <v>California</v>
      </c>
      <c r="O132" s="8" t="n">
        <f aca="false">IFERROR(INDEX('State Premium Data'!$D$2:$D$53,MATCH(N132,'State Premium Data'!$A$2:$A$53,0)),"")</f>
        <v>37475</v>
      </c>
      <c r="P132" s="8" t="n">
        <f aca="false">IFERROR(INDEX('State Premium Data'!$C$2:$C$53,MATCH(N132,'State Premium Data'!$A$2:$A$53,0)),"")</f>
        <v>78278</v>
      </c>
      <c r="Q132" s="9" t="n">
        <f aca="false">IFERROR(K132/O132,"")</f>
        <v>0.444723148765844</v>
      </c>
      <c r="R132" s="8" t="n">
        <f aca="false">IFERROR(I132-P132,"")</f>
        <v>-9882</v>
      </c>
      <c r="S132" s="10" t="n">
        <f aca="false">IFERROR(R132/P132,"")</f>
        <v>-0.126242366948568</v>
      </c>
    </row>
    <row r="133" customFormat="false" ht="15" hidden="false" customHeight="true" outlineLevel="0" collapsed="false">
      <c r="A133" s="3" t="s">
        <v>371</v>
      </c>
      <c r="B133" s="3" t="s">
        <v>70</v>
      </c>
      <c r="C133" s="3" t="s">
        <v>372</v>
      </c>
      <c r="D133" s="5" t="n">
        <v>65.9</v>
      </c>
      <c r="E133" s="6" t="n">
        <v>1219</v>
      </c>
      <c r="F133" s="7" t="n">
        <v>5276</v>
      </c>
      <c r="G133" s="8" t="n">
        <v>49110</v>
      </c>
      <c r="H133" s="8" t="n">
        <v>49110</v>
      </c>
      <c r="I133" s="8" t="n">
        <v>75482</v>
      </c>
      <c r="J133" s="5" t="n">
        <v>68</v>
      </c>
      <c r="K133" s="8" t="n">
        <v>25000</v>
      </c>
      <c r="L133" s="6" t="n">
        <v>0</v>
      </c>
      <c r="M133" s="3" t="s">
        <v>134</v>
      </c>
      <c r="N133" s="3" t="str">
        <f aca="false">INDEX('State Mapping'!$B$2:$B$53,MATCH(B133,'State Mapping'!$A$2:$A$53,0))</f>
        <v>New York</v>
      </c>
      <c r="O133" s="8" t="n">
        <f aca="false">IFERROR(INDEX('State Premium Data'!$D$2:$D$53,MATCH(N133,'State Premium Data'!$A$2:$A$53,0)),"")</f>
        <v>34733</v>
      </c>
      <c r="P133" s="8" t="n">
        <f aca="false">IFERROR(INDEX('State Premium Data'!$C$2:$C$53,MATCH(N133,'State Premium Data'!$A$2:$A$53,0)),"")</f>
        <v>74504</v>
      </c>
      <c r="Q133" s="9" t="n">
        <f aca="false">IFERROR(K133/O133,"")</f>
        <v>0.719776581349149</v>
      </c>
      <c r="R133" s="8" t="n">
        <f aca="false">IFERROR(I133-P133,"")</f>
        <v>978</v>
      </c>
      <c r="S133" s="10" t="n">
        <f aca="false">IFERROR(R133/P133,"")</f>
        <v>0.0131268119832492</v>
      </c>
    </row>
    <row r="134" customFormat="false" ht="15" hidden="false" customHeight="true" outlineLevel="0" collapsed="false">
      <c r="A134" s="3" t="s">
        <v>373</v>
      </c>
      <c r="B134" s="3" t="s">
        <v>20</v>
      </c>
      <c r="C134" s="3" t="s">
        <v>374</v>
      </c>
      <c r="D134" s="5" t="n">
        <v>66.1</v>
      </c>
      <c r="E134" s="6" t="n">
        <v>1127</v>
      </c>
      <c r="F134" s="7" t="n">
        <v>23757</v>
      </c>
      <c r="G134" s="8" t="n">
        <v>4879</v>
      </c>
      <c r="H134" s="8" t="n">
        <v>17324</v>
      </c>
      <c r="I134" s="8" t="n">
        <v>56746</v>
      </c>
      <c r="J134" s="5" t="n">
        <v>63.4</v>
      </c>
      <c r="K134" s="8" t="n">
        <v>17236</v>
      </c>
      <c r="L134" s="6" t="n">
        <v>0</v>
      </c>
      <c r="M134" s="3" t="s">
        <v>134</v>
      </c>
      <c r="N134" s="3" t="str">
        <f aca="false">INDEX('State Mapping'!$B$2:$B$53,MATCH(B134,'State Mapping'!$A$2:$A$53,0))</f>
        <v>Florida</v>
      </c>
      <c r="O134" s="8" t="n">
        <f aca="false">IFERROR(INDEX('State Premium Data'!$D$2:$D$53,MATCH(N134,'State Premium Data'!$A$2:$A$53,0)),"")</f>
        <v>21625</v>
      </c>
      <c r="P134" s="8" t="n">
        <f aca="false">IFERROR(INDEX('State Premium Data'!$C$2:$C$53,MATCH(N134,'State Premium Data'!$A$2:$A$53,0)),"")</f>
        <v>58009</v>
      </c>
      <c r="Q134" s="9" t="n">
        <f aca="false">IFERROR(K134/O134,"")</f>
        <v>0.797040462427746</v>
      </c>
      <c r="R134" s="8" t="n">
        <f aca="false">IFERROR(I134-P134,"")</f>
        <v>-1263</v>
      </c>
      <c r="S134" s="10" t="n">
        <f aca="false">IFERROR(R134/P134,"")</f>
        <v>-0.0217724835801341</v>
      </c>
    </row>
    <row r="135" customFormat="false" ht="15" hidden="false" customHeight="true" outlineLevel="0" collapsed="false">
      <c r="A135" s="3" t="s">
        <v>375</v>
      </c>
      <c r="B135" s="3" t="s">
        <v>56</v>
      </c>
      <c r="C135" s="3" t="s">
        <v>376</v>
      </c>
      <c r="D135" s="5" t="n">
        <v>66.3</v>
      </c>
      <c r="E135" s="6" t="n">
        <v>1208</v>
      </c>
      <c r="F135" s="7" t="n">
        <v>6452</v>
      </c>
      <c r="G135" s="8" t="n">
        <v>46958</v>
      </c>
      <c r="H135" s="8" t="n">
        <v>46958</v>
      </c>
      <c r="I135" s="8" t="n">
        <v>74545</v>
      </c>
      <c r="J135" s="5" t="n">
        <v>83.5</v>
      </c>
      <c r="K135" s="8" t="n">
        <v>20500</v>
      </c>
      <c r="L135" s="6" t="n">
        <v>0</v>
      </c>
      <c r="M135" s="3" t="s">
        <v>134</v>
      </c>
      <c r="N135" s="3" t="str">
        <f aca="false">INDEX('State Mapping'!$B$2:$B$53,MATCH(B135,'State Mapping'!$A$2:$A$53,0))</f>
        <v>North Carolina</v>
      </c>
      <c r="O135" s="8" t="n">
        <f aca="false">IFERROR(INDEX('State Premium Data'!$D$2:$D$53,MATCH(N135,'State Premium Data'!$A$2:$A$53,0)),"")</f>
        <v>25615</v>
      </c>
      <c r="P135" s="8" t="n">
        <f aca="false">IFERROR(INDEX('State Premium Data'!$C$2:$C$53,MATCH(N135,'State Premium Data'!$A$2:$A$53,0)),"")</f>
        <v>62338</v>
      </c>
      <c r="Q135" s="9" t="n">
        <f aca="false">IFERROR(K135/O135,"")</f>
        <v>0.800312317001757</v>
      </c>
      <c r="R135" s="8" t="n">
        <f aca="false">IFERROR(I135-P135,"")</f>
        <v>12207</v>
      </c>
      <c r="S135" s="10" t="n">
        <f aca="false">IFERROR(R135/P135,"")</f>
        <v>0.195819564310693</v>
      </c>
    </row>
    <row r="136" customFormat="false" ht="15" hidden="false" customHeight="true" outlineLevel="0" collapsed="false">
      <c r="A136" s="3" t="s">
        <v>377</v>
      </c>
      <c r="B136" s="3" t="s">
        <v>8</v>
      </c>
      <c r="C136" s="3" t="s">
        <v>378</v>
      </c>
      <c r="D136" s="5" t="n">
        <v>66.7</v>
      </c>
      <c r="E136" s="6"/>
      <c r="F136" s="7" t="n">
        <v>53782</v>
      </c>
      <c r="G136" s="8"/>
      <c r="H136" s="8"/>
      <c r="I136" s="8" t="n">
        <v>62668</v>
      </c>
      <c r="J136" s="5" t="n">
        <v>28.5</v>
      </c>
      <c r="K136" s="8" t="n">
        <v>19500</v>
      </c>
      <c r="L136" s="6" t="n">
        <v>0</v>
      </c>
      <c r="M136" s="3" t="s">
        <v>134</v>
      </c>
      <c r="N136" s="3" t="str">
        <f aca="false">INDEX('State Mapping'!$B$2:$B$53,MATCH(B136,'State Mapping'!$A$2:$A$53,0))</f>
        <v>Arizona</v>
      </c>
      <c r="O136" s="8" t="n">
        <f aca="false">IFERROR(INDEX('State Premium Data'!$D$2:$D$53,MATCH(N136,'State Premium Data'!$A$2:$A$53,0)),"")</f>
        <v>26035</v>
      </c>
      <c r="P136" s="8" t="n">
        <f aca="false">IFERROR(INDEX('State Premium Data'!$C$2:$C$53,MATCH(N136,'State Premium Data'!$A$2:$A$53,0)),"")</f>
        <v>66683</v>
      </c>
      <c r="Q136" s="9" t="n">
        <f aca="false">IFERROR(K136/O136,"")</f>
        <v>0.748991741885923</v>
      </c>
      <c r="R136" s="8" t="n">
        <f aca="false">IFERROR(I136-P136,"")</f>
        <v>-4015</v>
      </c>
      <c r="S136" s="10" t="n">
        <f aca="false">IFERROR(R136/P136,"")</f>
        <v>-0.0602102484891202</v>
      </c>
    </row>
    <row r="137" customFormat="false" ht="15" hidden="false" customHeight="true" outlineLevel="0" collapsed="false">
      <c r="A137" s="3" t="s">
        <v>379</v>
      </c>
      <c r="B137" s="3" t="s">
        <v>70</v>
      </c>
      <c r="C137" s="3" t="s">
        <v>232</v>
      </c>
      <c r="D137" s="5" t="n">
        <v>66.9</v>
      </c>
      <c r="E137" s="6" t="n">
        <v>1383</v>
      </c>
      <c r="F137" s="7" t="n">
        <v>13215</v>
      </c>
      <c r="G137" s="8" t="n">
        <v>59274</v>
      </c>
      <c r="H137" s="8" t="n">
        <v>59274</v>
      </c>
      <c r="I137" s="8" t="n">
        <v>76571</v>
      </c>
      <c r="J137" s="5" t="n">
        <v>70.3</v>
      </c>
      <c r="K137" s="8" t="n">
        <v>26778</v>
      </c>
      <c r="L137" s="6" t="n">
        <v>0</v>
      </c>
      <c r="M137" s="3" t="s">
        <v>134</v>
      </c>
      <c r="N137" s="3" t="str">
        <f aca="false">INDEX('State Mapping'!$B$2:$B$53,MATCH(B137,'State Mapping'!$A$2:$A$53,0))</f>
        <v>New York</v>
      </c>
      <c r="O137" s="8" t="n">
        <f aca="false">IFERROR(INDEX('State Premium Data'!$D$2:$D$53,MATCH(N137,'State Premium Data'!$A$2:$A$53,0)),"")</f>
        <v>34733</v>
      </c>
      <c r="P137" s="8" t="n">
        <f aca="false">IFERROR(INDEX('State Premium Data'!$C$2:$C$53,MATCH(N137,'State Premium Data'!$A$2:$A$53,0)),"")</f>
        <v>74504</v>
      </c>
      <c r="Q137" s="9" t="n">
        <f aca="false">IFERROR(K137/O137,"")</f>
        <v>0.770967091814701</v>
      </c>
      <c r="R137" s="8" t="n">
        <f aca="false">IFERROR(I137-P137,"")</f>
        <v>2067</v>
      </c>
      <c r="S137" s="10" t="n">
        <f aca="false">IFERROR(R137/P137,"")</f>
        <v>0.0277434768603028</v>
      </c>
    </row>
    <row r="138" customFormat="false" ht="15" hidden="false" customHeight="true" outlineLevel="0" collapsed="false">
      <c r="A138" s="3" t="s">
        <v>380</v>
      </c>
      <c r="B138" s="3" t="s">
        <v>70</v>
      </c>
      <c r="C138" s="3" t="s">
        <v>297</v>
      </c>
      <c r="D138" s="5" t="n">
        <v>67.5</v>
      </c>
      <c r="E138" s="6"/>
      <c r="F138" s="7" t="n">
        <v>5701</v>
      </c>
      <c r="G138" s="8" t="n">
        <v>18464</v>
      </c>
      <c r="H138" s="8" t="n">
        <v>18464</v>
      </c>
      <c r="I138" s="8" t="n">
        <v>41236</v>
      </c>
      <c r="J138" s="5" t="n">
        <v>57</v>
      </c>
      <c r="K138" s="8" t="n">
        <v>18818</v>
      </c>
      <c r="L138" s="6" t="n">
        <v>0</v>
      </c>
      <c r="M138" s="3" t="s">
        <v>134</v>
      </c>
      <c r="N138" s="3" t="str">
        <f aca="false">INDEX('State Mapping'!$B$2:$B$53,MATCH(B138,'State Mapping'!$A$2:$A$53,0))</f>
        <v>New York</v>
      </c>
      <c r="O138" s="8" t="n">
        <f aca="false">IFERROR(INDEX('State Premium Data'!$D$2:$D$53,MATCH(N138,'State Premium Data'!$A$2:$A$53,0)),"")</f>
        <v>34733</v>
      </c>
      <c r="P138" s="8" t="n">
        <f aca="false">IFERROR(INDEX('State Premium Data'!$C$2:$C$53,MATCH(N138,'State Premium Data'!$A$2:$A$53,0)),"")</f>
        <v>74504</v>
      </c>
      <c r="Q138" s="9" t="n">
        <f aca="false">IFERROR(K138/O138,"")</f>
        <v>0.541790228313132</v>
      </c>
      <c r="R138" s="8" t="n">
        <f aca="false">IFERROR(I138-P138,"")</f>
        <v>-33268</v>
      </c>
      <c r="S138" s="10" t="n">
        <f aca="false">IFERROR(R138/P138,"")</f>
        <v>-0.446526361000752</v>
      </c>
    </row>
    <row r="139" customFormat="false" ht="15" hidden="false" customHeight="true" outlineLevel="0" collapsed="false">
      <c r="A139" s="3" t="s">
        <v>381</v>
      </c>
      <c r="B139" s="3" t="s">
        <v>36</v>
      </c>
      <c r="C139" s="3" t="s">
        <v>382</v>
      </c>
      <c r="D139" s="5" t="n">
        <v>67.7</v>
      </c>
      <c r="E139" s="6" t="n">
        <v>1087</v>
      </c>
      <c r="F139" s="7" t="n">
        <v>8246</v>
      </c>
      <c r="G139" s="8" t="n">
        <v>11088</v>
      </c>
      <c r="H139" s="8" t="n">
        <v>21912</v>
      </c>
      <c r="I139" s="8" t="n">
        <v>50220</v>
      </c>
      <c r="J139" s="5" t="n">
        <v>50.2</v>
      </c>
      <c r="K139" s="8" t="n">
        <v>23000</v>
      </c>
      <c r="L139" s="6" t="n">
        <v>0</v>
      </c>
      <c r="M139" s="3" t="s">
        <v>134</v>
      </c>
      <c r="N139" s="3" t="str">
        <f aca="false">INDEX('State Mapping'!$B$2:$B$53,MATCH(B139,'State Mapping'!$A$2:$A$53,0))</f>
        <v>Kentucky</v>
      </c>
      <c r="O139" s="8" t="n">
        <f aca="false">IFERROR(INDEX('State Premium Data'!$D$2:$D$53,MATCH(N139,'State Premium Data'!$A$2:$A$53,0)),"")</f>
        <v>23549</v>
      </c>
      <c r="P139" s="8" t="n">
        <f aca="false">IFERROR(INDEX('State Premium Data'!$C$2:$C$53,MATCH(N139,'State Premium Data'!$A$2:$A$53,0)),"")</f>
        <v>60185</v>
      </c>
      <c r="Q139" s="9" t="n">
        <f aca="false">IFERROR(K139/O139,"")</f>
        <v>0.976686908148966</v>
      </c>
      <c r="R139" s="8" t="n">
        <f aca="false">IFERROR(I139-P139,"")</f>
        <v>-9965</v>
      </c>
      <c r="S139" s="10" t="n">
        <f aca="false">IFERROR(R139/P139,"")</f>
        <v>-0.16557281714713</v>
      </c>
    </row>
    <row r="140" customFormat="false" ht="15" hidden="false" customHeight="true" outlineLevel="0" collapsed="false">
      <c r="A140" s="3" t="s">
        <v>383</v>
      </c>
      <c r="B140" s="3" t="s">
        <v>92</v>
      </c>
      <c r="C140" s="3" t="s">
        <v>384</v>
      </c>
      <c r="D140" s="5" t="n">
        <v>67.8</v>
      </c>
      <c r="E140" s="6" t="n">
        <v>1376</v>
      </c>
      <c r="F140" s="7" t="n">
        <v>32952</v>
      </c>
      <c r="G140" s="8" t="n">
        <v>6688</v>
      </c>
      <c r="H140" s="8" t="n">
        <v>6688</v>
      </c>
      <c r="I140" s="8" t="n">
        <v>75790</v>
      </c>
      <c r="J140" s="5" t="n">
        <v>81.6</v>
      </c>
      <c r="K140" s="8" t="n">
        <v>11069</v>
      </c>
      <c r="L140" s="6" t="n">
        <v>0</v>
      </c>
      <c r="M140" s="3" t="s">
        <v>150</v>
      </c>
      <c r="N140" s="3" t="str">
        <f aca="false">INDEX('State Mapping'!$B$2:$B$53,MATCH(B140,'State Mapping'!$A$2:$A$53,0))</f>
        <v>Utah</v>
      </c>
      <c r="O140" s="8" t="n">
        <f aca="false">IFERROR(INDEX('State Premium Data'!$D$2:$D$53,MATCH(N140,'State Premium Data'!$A$2:$A$53,0)),"")</f>
        <v>21307</v>
      </c>
      <c r="P140" s="8" t="n">
        <f aca="false">IFERROR(INDEX('State Premium Data'!$C$2:$C$53,MATCH(N140,'State Premium Data'!$A$2:$A$53,0)),"")</f>
        <v>63247</v>
      </c>
      <c r="Q140" s="9" t="n">
        <f aca="false">IFERROR(K140/O140,"")</f>
        <v>0.519500633594593</v>
      </c>
      <c r="R140" s="8" t="n">
        <f aca="false">IFERROR(I140-P140,"")</f>
        <v>12543</v>
      </c>
      <c r="S140" s="10" t="n">
        <f aca="false">IFERROR(R140/P140,"")</f>
        <v>0.198317706768701</v>
      </c>
    </row>
    <row r="141" customFormat="false" ht="15" hidden="false" customHeight="true" outlineLevel="0" collapsed="false">
      <c r="A141" s="3" t="s">
        <v>385</v>
      </c>
      <c r="B141" s="3" t="s">
        <v>22</v>
      </c>
      <c r="C141" s="3" t="s">
        <v>386</v>
      </c>
      <c r="D141" s="5" t="n">
        <v>67.9</v>
      </c>
      <c r="E141" s="6" t="n">
        <v>1106</v>
      </c>
      <c r="F141" s="7" t="n">
        <v>16146</v>
      </c>
      <c r="G141" s="8" t="n">
        <v>5285</v>
      </c>
      <c r="H141" s="8" t="n">
        <v>16503</v>
      </c>
      <c r="I141" s="8" t="n">
        <v>50135</v>
      </c>
      <c r="J141" s="5" t="n">
        <v>37.1</v>
      </c>
      <c r="K141" s="8" t="n">
        <v>17750</v>
      </c>
      <c r="L141" s="6" t="n">
        <v>0</v>
      </c>
      <c r="M141" s="3" t="s">
        <v>134</v>
      </c>
      <c r="N141" s="3" t="str">
        <f aca="false">INDEX('State Mapping'!$B$2:$B$53,MATCH(B141,'State Mapping'!$A$2:$A$53,0))</f>
        <v>Georgia</v>
      </c>
      <c r="O141" s="8" t="n">
        <f aca="false">IFERROR(INDEX('State Premium Data'!$D$2:$D$53,MATCH(N141,'State Premium Data'!$A$2:$A$53,0)),"")</f>
        <v>27365</v>
      </c>
      <c r="P141" s="8" t="n">
        <f aca="false">IFERROR(INDEX('State Premium Data'!$C$2:$C$53,MATCH(N141,'State Premium Data'!$A$2:$A$53,0)),"")</f>
        <v>64185</v>
      </c>
      <c r="Q141" s="9" t="n">
        <f aca="false">IFERROR(K141/O141,"")</f>
        <v>0.648638772154212</v>
      </c>
      <c r="R141" s="8" t="n">
        <f aca="false">IFERROR(I141-P141,"")</f>
        <v>-14050</v>
      </c>
      <c r="S141" s="10" t="n">
        <f aca="false">IFERROR(R141/P141,"")</f>
        <v>-0.218898496533458</v>
      </c>
    </row>
    <row r="142" customFormat="false" ht="15" hidden="false" customHeight="true" outlineLevel="0" collapsed="false">
      <c r="A142" s="3" t="s">
        <v>387</v>
      </c>
      <c r="B142" s="3" t="s">
        <v>70</v>
      </c>
      <c r="C142" s="3" t="s">
        <v>388</v>
      </c>
      <c r="D142" s="5" t="n">
        <v>68.1</v>
      </c>
      <c r="E142" s="6" t="n">
        <v>1319</v>
      </c>
      <c r="F142" s="7" t="n">
        <v>6488</v>
      </c>
      <c r="G142" s="8" t="n">
        <v>57660</v>
      </c>
      <c r="H142" s="8" t="n">
        <v>57660</v>
      </c>
      <c r="I142" s="8" t="n">
        <v>69039</v>
      </c>
      <c r="J142" s="5" t="n">
        <v>67.8</v>
      </c>
      <c r="K142" s="8" t="n">
        <v>23621</v>
      </c>
      <c r="L142" s="6" t="n">
        <v>0</v>
      </c>
      <c r="M142" s="3" t="s">
        <v>150</v>
      </c>
      <c r="N142" s="3" t="str">
        <f aca="false">INDEX('State Mapping'!$B$2:$B$53,MATCH(B142,'State Mapping'!$A$2:$A$53,0))</f>
        <v>New York</v>
      </c>
      <c r="O142" s="8" t="n">
        <f aca="false">IFERROR(INDEX('State Premium Data'!$D$2:$D$53,MATCH(N142,'State Premium Data'!$A$2:$A$53,0)),"")</f>
        <v>34733</v>
      </c>
      <c r="P142" s="8" t="n">
        <f aca="false">IFERROR(INDEX('State Premium Data'!$C$2:$C$53,MATCH(N142,'State Premium Data'!$A$2:$A$53,0)),"")</f>
        <v>74504</v>
      </c>
      <c r="Q142" s="9" t="n">
        <f aca="false">IFERROR(K142/O142,"")</f>
        <v>0.68007370512193</v>
      </c>
      <c r="R142" s="8" t="n">
        <f aca="false">IFERROR(I142-P142,"")</f>
        <v>-5465</v>
      </c>
      <c r="S142" s="10" t="n">
        <f aca="false">IFERROR(R142/P142,"")</f>
        <v>-0.0733517663481155</v>
      </c>
    </row>
    <row r="143" customFormat="false" ht="15" hidden="false" customHeight="true" outlineLevel="0" collapsed="false">
      <c r="A143" s="3" t="s">
        <v>389</v>
      </c>
      <c r="B143" s="3" t="s">
        <v>4</v>
      </c>
      <c r="C143" s="3" t="s">
        <v>390</v>
      </c>
      <c r="D143" s="5" t="n">
        <v>68.6</v>
      </c>
      <c r="E143" s="6" t="n">
        <v>1319</v>
      </c>
      <c r="F143" s="7" t="n">
        <v>6591</v>
      </c>
      <c r="G143" s="8" t="n">
        <v>12132</v>
      </c>
      <c r="H143" s="8" t="n">
        <v>26408</v>
      </c>
      <c r="I143" s="8" t="n">
        <v>61767</v>
      </c>
      <c r="J143" s="5" t="n">
        <v>63.1</v>
      </c>
      <c r="K143" s="8" t="n">
        <v>20705</v>
      </c>
      <c r="L143" s="6" t="n">
        <v>0</v>
      </c>
      <c r="M143" s="3" t="s">
        <v>134</v>
      </c>
      <c r="N143" s="3" t="str">
        <f aca="false">INDEX('State Mapping'!$B$2:$B$53,MATCH(B143,'State Mapping'!$A$2:$A$53,0))</f>
        <v>Alabama</v>
      </c>
      <c r="O143" s="8" t="n">
        <f aca="false">IFERROR(INDEX('State Premium Data'!$D$2:$D$53,MATCH(N143,'State Premium Data'!$A$2:$A$53,0)),"")</f>
        <v>23541</v>
      </c>
      <c r="P143" s="8" t="n">
        <f aca="false">IFERROR(INDEX('State Premium Data'!$C$2:$C$53,MATCH(N143,'State Premium Data'!$A$2:$A$53,0)),"")</f>
        <v>60156</v>
      </c>
      <c r="Q143" s="9" t="n">
        <f aca="false">IFERROR(K143/O143,"")</f>
        <v>0.879529331804086</v>
      </c>
      <c r="R143" s="8" t="n">
        <f aca="false">IFERROR(I143-P143,"")</f>
        <v>1611</v>
      </c>
      <c r="S143" s="10" t="n">
        <f aca="false">IFERROR(R143/P143,"")</f>
        <v>0.0267803710353082</v>
      </c>
    </row>
    <row r="144" customFormat="false" ht="15" hidden="false" customHeight="true" outlineLevel="0" collapsed="false">
      <c r="A144" s="3" t="s">
        <v>391</v>
      </c>
      <c r="B144" s="3" t="s">
        <v>88</v>
      </c>
      <c r="C144" s="3" t="s">
        <v>392</v>
      </c>
      <c r="D144" s="5" t="n">
        <v>69.1</v>
      </c>
      <c r="E144" s="6" t="n">
        <v>1121</v>
      </c>
      <c r="F144" s="7" t="n">
        <v>16301</v>
      </c>
      <c r="G144" s="8" t="n">
        <v>10266</v>
      </c>
      <c r="H144" s="8" t="n">
        <v>31574</v>
      </c>
      <c r="I144" s="8" t="n">
        <v>48541</v>
      </c>
      <c r="J144" s="5" t="n">
        <v>53.8</v>
      </c>
      <c r="K144" s="8" t="n">
        <v>20000</v>
      </c>
      <c r="L144" s="6" t="n">
        <v>0</v>
      </c>
      <c r="M144" s="3" t="s">
        <v>134</v>
      </c>
      <c r="N144" s="3" t="str">
        <f aca="false">INDEX('State Mapping'!$B$2:$B$53,MATCH(B144,'State Mapping'!$A$2:$A$53,0))</f>
        <v>Tennessee</v>
      </c>
      <c r="O144" s="8" t="n">
        <f aca="false">IFERROR(INDEX('State Premium Data'!$D$2:$D$53,MATCH(N144,'State Premium Data'!$A$2:$A$53,0)),"")</f>
        <v>23496</v>
      </c>
      <c r="P144" s="8" t="n">
        <f aca="false">IFERROR(INDEX('State Premium Data'!$C$2:$C$53,MATCH(N144,'State Premium Data'!$A$2:$A$53,0)),"")</f>
        <v>61189</v>
      </c>
      <c r="Q144" s="9" t="n">
        <f aca="false">IFERROR(K144/O144,"")</f>
        <v>0.851208716377256</v>
      </c>
      <c r="R144" s="8" t="n">
        <f aca="false">IFERROR(I144-P144,"")</f>
        <v>-12648</v>
      </c>
      <c r="S144" s="10" t="n">
        <f aca="false">IFERROR(R144/P144,"")</f>
        <v>-0.206703819313929</v>
      </c>
    </row>
    <row r="145" customFormat="false" ht="15" hidden="false" customHeight="true" outlineLevel="0" collapsed="false">
      <c r="A145" s="3" t="s">
        <v>393</v>
      </c>
      <c r="B145" s="3" t="s">
        <v>70</v>
      </c>
      <c r="C145" s="3" t="s">
        <v>394</v>
      </c>
      <c r="D145" s="5" t="n">
        <v>69.1</v>
      </c>
      <c r="E145" s="6"/>
      <c r="F145" s="7" t="n">
        <v>12564</v>
      </c>
      <c r="G145" s="8" t="n">
        <v>10866</v>
      </c>
      <c r="H145" s="8" t="n">
        <v>31256</v>
      </c>
      <c r="I145" s="8" t="n">
        <v>67979</v>
      </c>
      <c r="J145" s="5" t="n">
        <v>62.7</v>
      </c>
      <c r="K145" s="8" t="n">
        <v>19500</v>
      </c>
      <c r="L145" s="6" t="n">
        <v>0</v>
      </c>
      <c r="M145" s="3" t="s">
        <v>134</v>
      </c>
      <c r="N145" s="3" t="str">
        <f aca="false">INDEX('State Mapping'!$B$2:$B$53,MATCH(B145,'State Mapping'!$A$2:$A$53,0))</f>
        <v>New York</v>
      </c>
      <c r="O145" s="8" t="n">
        <f aca="false">IFERROR(INDEX('State Premium Data'!$D$2:$D$53,MATCH(N145,'State Premium Data'!$A$2:$A$53,0)),"")</f>
        <v>34733</v>
      </c>
      <c r="P145" s="8" t="n">
        <f aca="false">IFERROR(INDEX('State Premium Data'!$C$2:$C$53,MATCH(N145,'State Premium Data'!$A$2:$A$53,0)),"")</f>
        <v>74504</v>
      </c>
      <c r="Q145" s="9" t="n">
        <f aca="false">IFERROR(K145/O145,"")</f>
        <v>0.561425733452336</v>
      </c>
      <c r="R145" s="8" t="n">
        <f aca="false">IFERROR(I145-P145,"")</f>
        <v>-6525</v>
      </c>
      <c r="S145" s="10" t="n">
        <f aca="false">IFERROR(R145/P145,"")</f>
        <v>-0.0875791903790401</v>
      </c>
    </row>
    <row r="146" customFormat="false" ht="15" hidden="false" customHeight="true" outlineLevel="0" collapsed="false">
      <c r="A146" s="3" t="s">
        <v>395</v>
      </c>
      <c r="B146" s="3" t="s">
        <v>22</v>
      </c>
      <c r="C146" s="3" t="s">
        <v>396</v>
      </c>
      <c r="D146" s="5" t="n">
        <v>69.2</v>
      </c>
      <c r="E146" s="6" t="n">
        <v>1113</v>
      </c>
      <c r="F146" s="7" t="n">
        <v>41254</v>
      </c>
      <c r="G146" s="8" t="n">
        <v>5808</v>
      </c>
      <c r="H146" s="8" t="n">
        <v>17736</v>
      </c>
      <c r="I146" s="8" t="n">
        <v>57552</v>
      </c>
      <c r="J146" s="5" t="n">
        <v>50</v>
      </c>
      <c r="K146" s="8" t="n">
        <v>23833</v>
      </c>
      <c r="L146" s="6" t="n">
        <v>0</v>
      </c>
      <c r="M146" s="3" t="s">
        <v>150</v>
      </c>
      <c r="N146" s="3" t="str">
        <f aca="false">INDEX('State Mapping'!$B$2:$B$53,MATCH(B146,'State Mapping'!$A$2:$A$53,0))</f>
        <v>Georgia</v>
      </c>
      <c r="O146" s="8" t="n">
        <f aca="false">IFERROR(INDEX('State Premium Data'!$D$2:$D$53,MATCH(N146,'State Premium Data'!$A$2:$A$53,0)),"")</f>
        <v>27365</v>
      </c>
      <c r="P146" s="8" t="n">
        <f aca="false">IFERROR(INDEX('State Premium Data'!$C$2:$C$53,MATCH(N146,'State Premium Data'!$A$2:$A$53,0)),"")</f>
        <v>64185</v>
      </c>
      <c r="Q146" s="9" t="n">
        <f aca="false">IFERROR(K146/O146,"")</f>
        <v>0.870930020098666</v>
      </c>
      <c r="R146" s="8" t="n">
        <f aca="false">IFERROR(I146-P146,"")</f>
        <v>-6633</v>
      </c>
      <c r="S146" s="10" t="n">
        <f aca="false">IFERROR(R146/P146,"")</f>
        <v>-0.103341902313625</v>
      </c>
    </row>
    <row r="147" customFormat="false" ht="15" hidden="false" customHeight="true" outlineLevel="0" collapsed="false">
      <c r="A147" s="3" t="s">
        <v>397</v>
      </c>
      <c r="B147" s="3" t="s">
        <v>30</v>
      </c>
      <c r="C147" s="3" t="s">
        <v>398</v>
      </c>
      <c r="D147" s="5" t="n">
        <v>69.8</v>
      </c>
      <c r="E147" s="6"/>
      <c r="F147" s="7" t="n">
        <v>11301</v>
      </c>
      <c r="G147" s="8" t="n">
        <v>13248</v>
      </c>
      <c r="H147" s="8" t="n">
        <v>13248</v>
      </c>
      <c r="I147" s="8" t="n">
        <v>57808</v>
      </c>
      <c r="J147" s="5" t="n">
        <v>49.2</v>
      </c>
      <c r="K147" s="8" t="n">
        <v>22162</v>
      </c>
      <c r="L147" s="6" t="n">
        <v>0</v>
      </c>
      <c r="M147" s="3" t="s">
        <v>134</v>
      </c>
      <c r="N147" s="3" t="str">
        <f aca="false">INDEX('State Mapping'!$B$2:$B$53,MATCH(B147,'State Mapping'!$A$2:$A$53,0))</f>
        <v>Illinois</v>
      </c>
      <c r="O147" s="8" t="n">
        <f aca="false">IFERROR(INDEX('State Premium Data'!$D$2:$D$53,MATCH(N147,'State Premium Data'!$A$2:$A$53,0)),"")</f>
        <v>30842</v>
      </c>
      <c r="P147" s="8" t="n">
        <f aca="false">IFERROR(INDEX('State Premium Data'!$C$2:$C$53,MATCH(N147,'State Premium Data'!$A$2:$A$53,0)),"")</f>
        <v>71127</v>
      </c>
      <c r="Q147" s="9" t="n">
        <f aca="false">IFERROR(K147/O147,"")</f>
        <v>0.718565592374035</v>
      </c>
      <c r="R147" s="8" t="n">
        <f aca="false">IFERROR(I147-P147,"")</f>
        <v>-13319</v>
      </c>
      <c r="S147" s="10" t="n">
        <f aca="false">IFERROR(R147/P147,"")</f>
        <v>-0.187256597354029</v>
      </c>
    </row>
    <row r="148" customFormat="false" ht="15" hidden="false" customHeight="true" outlineLevel="0" collapsed="false">
      <c r="A148" s="3" t="s">
        <v>399</v>
      </c>
      <c r="B148" s="3" t="s">
        <v>18</v>
      </c>
      <c r="C148" s="3" t="s">
        <v>359</v>
      </c>
      <c r="D148" s="5" t="n">
        <v>70.6</v>
      </c>
      <c r="E148" s="6" t="n">
        <v>1292</v>
      </c>
      <c r="F148" s="7" t="n">
        <v>19071</v>
      </c>
      <c r="G148" s="8" t="n">
        <v>16810</v>
      </c>
      <c r="H148" s="8" t="n">
        <v>41400</v>
      </c>
      <c r="I148" s="8" t="n">
        <v>72950</v>
      </c>
      <c r="J148" s="5" t="n">
        <v>79.7</v>
      </c>
      <c r="K148" s="8" t="n">
        <v>24572</v>
      </c>
      <c r="L148" s="6" t="n">
        <v>1</v>
      </c>
      <c r="M148" s="3" t="s">
        <v>134</v>
      </c>
      <c r="N148" s="3" t="str">
        <f aca="false">INDEX('State Mapping'!$B$2:$B$53,MATCH(B148,'State Mapping'!$A$2:$A$53,0))</f>
        <v>Delaware</v>
      </c>
      <c r="O148" s="8" t="n">
        <f aca="false">IFERROR(INDEX('State Premium Data'!$D$2:$D$53,MATCH(N148,'State Premium Data'!$A$2:$A$53,0)),"")</f>
        <v>25285</v>
      </c>
      <c r="P148" s="8" t="n">
        <f aca="false">IFERROR(INDEX('State Premium Data'!$C$2:$C$53,MATCH(N148,'State Premium Data'!$A$2:$A$53,0)),"")</f>
        <v>64157</v>
      </c>
      <c r="Q148" s="9" t="n">
        <f aca="false">IFERROR(K148/O148,"")</f>
        <v>0.971801463318173</v>
      </c>
      <c r="R148" s="8" t="n">
        <f aca="false">IFERROR(I148-P148,"")</f>
        <v>8793</v>
      </c>
      <c r="S148" s="10" t="n">
        <f aca="false">IFERROR(R148/P148,"")</f>
        <v>0.137054413392147</v>
      </c>
    </row>
    <row r="149" customFormat="false" ht="15" hidden="false" customHeight="true" outlineLevel="0" collapsed="false">
      <c r="A149" s="3" t="s">
        <v>400</v>
      </c>
      <c r="B149" s="3" t="s">
        <v>70</v>
      </c>
      <c r="C149" s="3" t="s">
        <v>401</v>
      </c>
      <c r="D149" s="5" t="n">
        <v>70.7</v>
      </c>
      <c r="E149" s="6" t="n">
        <v>1193</v>
      </c>
      <c r="F149" s="7" t="n">
        <v>5784</v>
      </c>
      <c r="G149" s="8" t="n">
        <v>8752</v>
      </c>
      <c r="H149" s="8" t="n">
        <v>15822</v>
      </c>
      <c r="I149" s="8" t="n">
        <v>54496</v>
      </c>
      <c r="J149" s="5" t="n">
        <v>55.9</v>
      </c>
      <c r="K149" s="8" t="n">
        <v>20000</v>
      </c>
      <c r="L149" s="6" t="n">
        <v>0</v>
      </c>
      <c r="M149" s="3" t="s">
        <v>134</v>
      </c>
      <c r="N149" s="3" t="str">
        <f aca="false">INDEX('State Mapping'!$B$2:$B$53,MATCH(B149,'State Mapping'!$A$2:$A$53,0))</f>
        <v>New York</v>
      </c>
      <c r="O149" s="8" t="n">
        <f aca="false">IFERROR(INDEX('State Premium Data'!$D$2:$D$53,MATCH(N149,'State Premium Data'!$A$2:$A$53,0)),"")</f>
        <v>34733</v>
      </c>
      <c r="P149" s="8" t="n">
        <f aca="false">IFERROR(INDEX('State Premium Data'!$C$2:$C$53,MATCH(N149,'State Premium Data'!$A$2:$A$53,0)),"")</f>
        <v>74504</v>
      </c>
      <c r="Q149" s="9" t="n">
        <f aca="false">IFERROR(K149/O149,"")</f>
        <v>0.575821265079319</v>
      </c>
      <c r="R149" s="8" t="n">
        <f aca="false">IFERROR(I149-P149,"")</f>
        <v>-20008</v>
      </c>
      <c r="S149" s="10" t="n">
        <f aca="false">IFERROR(R149/P149,"")</f>
        <v>-0.268549339632771</v>
      </c>
    </row>
    <row r="150" customFormat="false" ht="15" hidden="false" customHeight="true" outlineLevel="0" collapsed="false">
      <c r="A150" s="3" t="s">
        <v>402</v>
      </c>
      <c r="B150" s="3" t="s">
        <v>4</v>
      </c>
      <c r="C150" s="3" t="s">
        <v>403</v>
      </c>
      <c r="D150" s="5" t="n">
        <v>71</v>
      </c>
      <c r="E150" s="6" t="n">
        <v>1147</v>
      </c>
      <c r="F150" s="7" t="n">
        <v>8879</v>
      </c>
      <c r="G150" s="8" t="n">
        <v>10116</v>
      </c>
      <c r="H150" s="8" t="n">
        <v>19092</v>
      </c>
      <c r="I150" s="8" t="n">
        <v>49379</v>
      </c>
      <c r="J150" s="5" t="n">
        <v>52.6</v>
      </c>
      <c r="K150" s="8" t="n">
        <v>24929</v>
      </c>
      <c r="L150" s="6" t="n">
        <v>0</v>
      </c>
      <c r="M150" s="3" t="s">
        <v>134</v>
      </c>
      <c r="N150" s="3" t="str">
        <f aca="false">INDEX('State Mapping'!$B$2:$B$53,MATCH(B150,'State Mapping'!$A$2:$A$53,0))</f>
        <v>Alabama</v>
      </c>
      <c r="O150" s="8" t="n">
        <f aca="false">IFERROR(INDEX('State Premium Data'!$D$2:$D$53,MATCH(N150,'State Premium Data'!$A$2:$A$53,0)),"")</f>
        <v>23541</v>
      </c>
      <c r="P150" s="8" t="n">
        <f aca="false">IFERROR(INDEX('State Premium Data'!$C$2:$C$53,MATCH(N150,'State Premium Data'!$A$2:$A$53,0)),"")</f>
        <v>60156</v>
      </c>
      <c r="Q150" s="9" t="n">
        <f aca="false">IFERROR(K150/O150,"")</f>
        <v>1.05896096172635</v>
      </c>
      <c r="R150" s="8" t="n">
        <f aca="false">IFERROR(I150-P150,"")</f>
        <v>-10777</v>
      </c>
      <c r="S150" s="10" t="n">
        <f aca="false">IFERROR(R150/P150,"")</f>
        <v>-0.179150874393244</v>
      </c>
    </row>
    <row r="151" customFormat="false" ht="15" hidden="false" customHeight="true" outlineLevel="0" collapsed="false">
      <c r="A151" s="3" t="s">
        <v>404</v>
      </c>
      <c r="B151" s="3" t="s">
        <v>64</v>
      </c>
      <c r="C151" s="3" t="s">
        <v>359</v>
      </c>
      <c r="D151" s="5" t="n">
        <v>71.4</v>
      </c>
      <c r="E151" s="6"/>
      <c r="F151" s="7" t="n">
        <v>7709</v>
      </c>
      <c r="G151" s="8" t="n">
        <v>17250</v>
      </c>
      <c r="H151" s="8" t="n">
        <v>36762</v>
      </c>
      <c r="I151" s="8" t="n">
        <v>74479</v>
      </c>
      <c r="J151" s="5" t="n">
        <v>65.7</v>
      </c>
      <c r="K151" s="8" t="n">
        <v>21500</v>
      </c>
      <c r="L151" s="6" t="n">
        <v>0</v>
      </c>
      <c r="M151" s="3" t="s">
        <v>134</v>
      </c>
      <c r="N151" s="3" t="str">
        <f aca="false">INDEX('State Mapping'!$B$2:$B$53,MATCH(B151,'State Mapping'!$A$2:$A$53,0))</f>
        <v>New Jersey</v>
      </c>
      <c r="O151" s="8" t="n">
        <f aca="false">IFERROR(INDEX('State Premium Data'!$D$2:$D$53,MATCH(N151,'State Premium Data'!$A$2:$A$53,0)),"")</f>
        <v>38586</v>
      </c>
      <c r="P151" s="8" t="n">
        <f aca="false">IFERROR(INDEX('State Premium Data'!$C$2:$C$53,MATCH(N151,'State Premium Data'!$A$2:$A$53,0)),"")</f>
        <v>80114</v>
      </c>
      <c r="Q151" s="9" t="n">
        <f aca="false">IFERROR(K151/O151,"")</f>
        <v>0.557196910796662</v>
      </c>
      <c r="R151" s="8" t="n">
        <f aca="false">IFERROR(I151-P151,"")</f>
        <v>-5635</v>
      </c>
      <c r="S151" s="10" t="n">
        <f aca="false">IFERROR(R151/P151,"")</f>
        <v>-0.0703372693911177</v>
      </c>
    </row>
    <row r="152" customFormat="false" ht="15" hidden="false" customHeight="true" outlineLevel="0" collapsed="false">
      <c r="A152" s="3" t="s">
        <v>405</v>
      </c>
      <c r="B152" s="3" t="s">
        <v>78</v>
      </c>
      <c r="C152" s="3" t="s">
        <v>406</v>
      </c>
      <c r="D152" s="5" t="n">
        <v>71.5</v>
      </c>
      <c r="E152" s="6" t="n">
        <v>1095</v>
      </c>
      <c r="F152" s="7" t="n">
        <v>6788</v>
      </c>
      <c r="G152" s="8" t="n">
        <v>10568</v>
      </c>
      <c r="H152" s="8" t="n">
        <v>14676</v>
      </c>
      <c r="I152" s="8" t="n">
        <v>53032</v>
      </c>
      <c r="J152" s="5" t="n">
        <v>65.7</v>
      </c>
      <c r="K152" s="8" t="n">
        <v>25000</v>
      </c>
      <c r="L152" s="6" t="n">
        <v>0</v>
      </c>
      <c r="M152" s="3" t="s">
        <v>134</v>
      </c>
      <c r="N152" s="3" t="str">
        <f aca="false">INDEX('State Mapping'!$B$2:$B$53,MATCH(B152,'State Mapping'!$A$2:$A$53,0))</f>
        <v>Pennsylvania</v>
      </c>
      <c r="O152" s="8" t="n">
        <f aca="false">IFERROR(INDEX('State Premium Data'!$D$2:$D$53,MATCH(N152,'State Premium Data'!$A$2:$A$53,0)),"")</f>
        <v>25342</v>
      </c>
      <c r="P152" s="8" t="n">
        <f aca="false">IFERROR(INDEX('State Premium Data'!$C$2:$C$53,MATCH(N152,'State Premium Data'!$A$2:$A$53,0)),"")</f>
        <v>65678</v>
      </c>
      <c r="Q152" s="9" t="n">
        <f aca="false">IFERROR(K152/O152,"")</f>
        <v>0.986504616841607</v>
      </c>
      <c r="R152" s="8" t="n">
        <f aca="false">IFERROR(I152-P152,"")</f>
        <v>-12646</v>
      </c>
      <c r="S152" s="10" t="n">
        <f aca="false">IFERROR(R152/P152,"")</f>
        <v>-0.192545449008801</v>
      </c>
    </row>
    <row r="153" customFormat="false" ht="15" hidden="false" customHeight="true" outlineLevel="0" collapsed="false">
      <c r="A153" s="3" t="s">
        <v>407</v>
      </c>
      <c r="B153" s="3" t="s">
        <v>94</v>
      </c>
      <c r="C153" s="3" t="s">
        <v>408</v>
      </c>
      <c r="D153" s="5" t="n">
        <v>71.5</v>
      </c>
      <c r="E153" s="6" t="n">
        <v>1256</v>
      </c>
      <c r="F153" s="7" t="n">
        <v>20888</v>
      </c>
      <c r="G153" s="8" t="n">
        <v>14250</v>
      </c>
      <c r="H153" s="8" t="n">
        <v>31604</v>
      </c>
      <c r="I153" s="8" t="n">
        <v>69954</v>
      </c>
      <c r="J153" s="5" t="n">
        <v>80.3</v>
      </c>
      <c r="K153" s="8" t="n">
        <v>20093</v>
      </c>
      <c r="L153" s="6" t="n">
        <v>0</v>
      </c>
      <c r="M153" s="3" t="s">
        <v>134</v>
      </c>
      <c r="N153" s="3" t="str">
        <f aca="false">INDEX('State Mapping'!$B$2:$B$53,MATCH(B153,'State Mapping'!$A$2:$A$53,0))</f>
        <v>Virginia</v>
      </c>
      <c r="O153" s="8" t="n">
        <f aca="false">IFERROR(INDEX('State Premium Data'!$D$2:$D$53,MATCH(N153,'State Premium Data'!$A$2:$A$53,0)),"")</f>
        <v>33407</v>
      </c>
      <c r="P153" s="8" t="n">
        <f aca="false">IFERROR(INDEX('State Premium Data'!$C$2:$C$53,MATCH(N153,'State Premium Data'!$A$2:$A$53,0)),"")</f>
        <v>74468</v>
      </c>
      <c r="Q153" s="9" t="n">
        <f aca="false">IFERROR(K153/O153,"")</f>
        <v>0.601460771694555</v>
      </c>
      <c r="R153" s="8" t="n">
        <f aca="false">IFERROR(I153-P153,"")</f>
        <v>-4514</v>
      </c>
      <c r="S153" s="10" t="n">
        <f aca="false">IFERROR(R153/P153,"")</f>
        <v>-0.0606166407047322</v>
      </c>
    </row>
    <row r="154" customFormat="false" ht="15" hidden="false" customHeight="true" outlineLevel="0" collapsed="false">
      <c r="A154" s="3" t="s">
        <v>409</v>
      </c>
      <c r="B154" s="3" t="s">
        <v>88</v>
      </c>
      <c r="C154" s="3" t="s">
        <v>410</v>
      </c>
      <c r="D154" s="5" t="n">
        <v>72</v>
      </c>
      <c r="E154" s="6" t="n">
        <v>1088</v>
      </c>
      <c r="F154" s="7" t="n">
        <v>12701</v>
      </c>
      <c r="G154" s="8" t="n">
        <v>10728</v>
      </c>
      <c r="H154" s="8" t="n">
        <v>15384</v>
      </c>
      <c r="I154" s="8" t="n">
        <v>48458</v>
      </c>
      <c r="J154" s="5" t="n">
        <v>50.1</v>
      </c>
      <c r="K154" s="8" t="n">
        <v>23300</v>
      </c>
      <c r="L154" s="6" t="n">
        <v>0</v>
      </c>
      <c r="M154" s="3" t="s">
        <v>134</v>
      </c>
      <c r="N154" s="3" t="str">
        <f aca="false">INDEX('State Mapping'!$B$2:$B$53,MATCH(B154,'State Mapping'!$A$2:$A$53,0))</f>
        <v>Tennessee</v>
      </c>
      <c r="O154" s="8" t="n">
        <f aca="false">IFERROR(INDEX('State Premium Data'!$D$2:$D$53,MATCH(N154,'State Premium Data'!$A$2:$A$53,0)),"")</f>
        <v>23496</v>
      </c>
      <c r="P154" s="8" t="n">
        <f aca="false">IFERROR(INDEX('State Premium Data'!$C$2:$C$53,MATCH(N154,'State Premium Data'!$A$2:$A$53,0)),"")</f>
        <v>61189</v>
      </c>
      <c r="Q154" s="9" t="n">
        <f aca="false">IFERROR(K154/O154,"")</f>
        <v>0.991658154579503</v>
      </c>
      <c r="R154" s="8" t="n">
        <f aca="false">IFERROR(I154-P154,"")</f>
        <v>-12731</v>
      </c>
      <c r="S154" s="10" t="n">
        <f aca="false">IFERROR(R154/P154,"")</f>
        <v>-0.20806027227116</v>
      </c>
    </row>
    <row r="155" customFormat="false" ht="15" hidden="false" customHeight="true" outlineLevel="0" collapsed="false">
      <c r="A155" s="3" t="s">
        <v>411</v>
      </c>
      <c r="B155" s="3" t="s">
        <v>46</v>
      </c>
      <c r="C155" s="3" t="s">
        <v>412</v>
      </c>
      <c r="D155" s="5" t="n">
        <v>72.1</v>
      </c>
      <c r="E155" s="6" t="n">
        <v>1052</v>
      </c>
      <c r="F155" s="7" t="n">
        <v>5989</v>
      </c>
      <c r="G155" s="8" t="n">
        <v>12930</v>
      </c>
      <c r="H155" s="8" t="n">
        <v>30450</v>
      </c>
      <c r="I155" s="8" t="n">
        <v>51955</v>
      </c>
      <c r="J155" s="5" t="n">
        <v>50.7</v>
      </c>
      <c r="K155" s="8" t="n">
        <v>25000</v>
      </c>
      <c r="L155" s="6" t="n">
        <v>0</v>
      </c>
      <c r="M155" s="3" t="s">
        <v>134</v>
      </c>
      <c r="N155" s="3" t="str">
        <f aca="false">INDEX('State Mapping'!$B$2:$B$53,MATCH(B155,'State Mapping'!$A$2:$A$53,0))</f>
        <v>Michigan</v>
      </c>
      <c r="O155" s="8" t="n">
        <f aca="false">IFERROR(INDEX('State Premium Data'!$D$2:$D$53,MATCH(N155,'State Premium Data'!$A$2:$A$53,0)),"")</f>
        <v>27987</v>
      </c>
      <c r="P155" s="8" t="n">
        <f aca="false">IFERROR(INDEX('State Premium Data'!$C$2:$C$53,MATCH(N155,'State Premium Data'!$A$2:$A$53,0)),"")</f>
        <v>64810</v>
      </c>
      <c r="Q155" s="9" t="n">
        <f aca="false">IFERROR(K155/O155,"")</f>
        <v>0.893271876228249</v>
      </c>
      <c r="R155" s="8" t="n">
        <f aca="false">IFERROR(I155-P155,"")</f>
        <v>-12855</v>
      </c>
      <c r="S155" s="10" t="n">
        <f aca="false">IFERROR(R155/P155,"")</f>
        <v>-0.19834902021293</v>
      </c>
    </row>
    <row r="156" customFormat="false" ht="15" hidden="false" customHeight="true" outlineLevel="0" collapsed="false">
      <c r="A156" s="3" t="s">
        <v>413</v>
      </c>
      <c r="B156" s="3" t="s">
        <v>14</v>
      </c>
      <c r="C156" s="3" t="s">
        <v>414</v>
      </c>
      <c r="D156" s="5" t="n">
        <v>72.2</v>
      </c>
      <c r="E156" s="6" t="n">
        <v>1242</v>
      </c>
      <c r="F156" s="7" t="n">
        <v>6531</v>
      </c>
      <c r="G156" s="8" t="n">
        <v>55480</v>
      </c>
      <c r="H156" s="8" t="n">
        <v>55480</v>
      </c>
      <c r="I156" s="8" t="n">
        <v>83759</v>
      </c>
      <c r="J156" s="5" t="n">
        <v>76.5</v>
      </c>
      <c r="K156" s="8" t="n">
        <v>26000</v>
      </c>
      <c r="L156" s="6" t="n">
        <v>0</v>
      </c>
      <c r="M156" s="3" t="s">
        <v>134</v>
      </c>
      <c r="N156" s="3" t="str">
        <f aca="false">INDEX('State Mapping'!$B$2:$B$53,MATCH(B156,'State Mapping'!$A$2:$A$53,0))</f>
        <v>Connecticut</v>
      </c>
      <c r="O156" s="8" t="n">
        <f aca="false">IFERROR(INDEX('State Premium Data'!$D$2:$D$53,MATCH(N156,'State Premium Data'!$A$2:$A$53,0)),"")</f>
        <v>33855</v>
      </c>
      <c r="P156" s="8" t="n">
        <f aca="false">IFERROR(INDEX('State Premium Data'!$C$2:$C$53,MATCH(N156,'State Premium Data'!$A$2:$A$53,0)),"")</f>
        <v>75975</v>
      </c>
      <c r="Q156" s="9" t="n">
        <f aca="false">IFERROR(K156/O156,"")</f>
        <v>0.767981095849948</v>
      </c>
      <c r="R156" s="8" t="n">
        <f aca="false">IFERROR(I156-P156,"")</f>
        <v>7784</v>
      </c>
      <c r="S156" s="10" t="n">
        <f aca="false">IFERROR(R156/P156,"")</f>
        <v>0.10245475485357</v>
      </c>
    </row>
    <row r="157" customFormat="false" ht="15" hidden="false" customHeight="true" outlineLevel="0" collapsed="false">
      <c r="A157" s="3" t="s">
        <v>415</v>
      </c>
      <c r="B157" s="3" t="s">
        <v>82</v>
      </c>
      <c r="C157" s="3" t="s">
        <v>416</v>
      </c>
      <c r="D157" s="5" t="n">
        <v>72.2</v>
      </c>
      <c r="E157" s="6" t="n">
        <v>1160</v>
      </c>
      <c r="F157" s="7" t="n">
        <v>13381</v>
      </c>
      <c r="G157" s="8" t="n">
        <v>16942</v>
      </c>
      <c r="H157" s="8" t="n">
        <v>37146</v>
      </c>
      <c r="I157" s="8" t="n">
        <v>69743</v>
      </c>
      <c r="J157" s="5" t="n">
        <v>72.2</v>
      </c>
      <c r="K157" s="8" t="n">
        <v>22250</v>
      </c>
      <c r="L157" s="6" t="n">
        <v>0</v>
      </c>
      <c r="M157" s="3" t="s">
        <v>134</v>
      </c>
      <c r="N157" s="3" t="str">
        <f aca="false">INDEX('State Mapping'!$B$2:$B$53,MATCH(B157,'State Mapping'!$A$2:$A$53,0))</f>
        <v>Rhode Island</v>
      </c>
      <c r="O157" s="8" t="n">
        <f aca="false">IFERROR(INDEX('State Premium Data'!$D$2:$D$53,MATCH(N157,'State Premium Data'!$A$2:$A$53,0)),"")</f>
        <v>24927</v>
      </c>
      <c r="P157" s="8" t="n">
        <f aca="false">IFERROR(INDEX('State Premium Data'!$C$2:$C$53,MATCH(N157,'State Premium Data'!$A$2:$A$53,0)),"")</f>
        <v>68084</v>
      </c>
      <c r="Q157" s="9" t="n">
        <f aca="false">IFERROR(K157/O157,"")</f>
        <v>0.8926064107193</v>
      </c>
      <c r="R157" s="8" t="n">
        <f aca="false">IFERROR(I157-P157,"")</f>
        <v>1659</v>
      </c>
      <c r="S157" s="10" t="n">
        <f aca="false">IFERROR(R157/P157,"")</f>
        <v>0.024366958463075</v>
      </c>
    </row>
    <row r="158" customFormat="false" ht="15" hidden="false" customHeight="true" outlineLevel="0" collapsed="false">
      <c r="A158" s="3" t="s">
        <v>417</v>
      </c>
      <c r="B158" s="3" t="s">
        <v>50</v>
      </c>
      <c r="C158" s="3" t="s">
        <v>418</v>
      </c>
      <c r="D158" s="5" t="n">
        <v>72.2</v>
      </c>
      <c r="E158" s="6" t="n">
        <v>1204</v>
      </c>
      <c r="F158" s="7" t="n">
        <v>6817</v>
      </c>
      <c r="G158" s="8" t="n">
        <v>12587</v>
      </c>
      <c r="H158" s="8" t="n">
        <v>30227</v>
      </c>
      <c r="I158" s="8" t="n">
        <v>59637</v>
      </c>
      <c r="J158" s="5" t="n">
        <v>55.7</v>
      </c>
      <c r="K158" s="8" t="n">
        <v>18750</v>
      </c>
      <c r="L158" s="6" t="n">
        <v>0</v>
      </c>
      <c r="M158" s="3" t="s">
        <v>150</v>
      </c>
      <c r="N158" s="3" t="str">
        <f aca="false">INDEX('State Mapping'!$B$2:$B$53,MATCH(B158,'State Mapping'!$A$2:$A$53,0))</f>
        <v>Missouri</v>
      </c>
      <c r="O158" s="8" t="n">
        <f aca="false">IFERROR(INDEX('State Premium Data'!$D$2:$D$53,MATCH(N158,'State Premium Data'!$A$2:$A$53,0)),"")</f>
        <v>23998</v>
      </c>
      <c r="P158" s="8" t="n">
        <f aca="false">IFERROR(INDEX('State Premium Data'!$C$2:$C$53,MATCH(N158,'State Premium Data'!$A$2:$A$53,0)),"")</f>
        <v>61418</v>
      </c>
      <c r="Q158" s="9" t="n">
        <f aca="false">IFERROR(K158/O158,"")</f>
        <v>0.781315109592466</v>
      </c>
      <c r="R158" s="8" t="n">
        <f aca="false">IFERROR(I158-P158,"")</f>
        <v>-1781</v>
      </c>
      <c r="S158" s="10" t="n">
        <f aca="false">IFERROR(R158/P158,"")</f>
        <v>-0.0289980136116448</v>
      </c>
    </row>
    <row r="159" customFormat="false" ht="15" hidden="false" customHeight="true" outlineLevel="0" collapsed="false">
      <c r="A159" s="3" t="s">
        <v>419</v>
      </c>
      <c r="B159" s="3" t="s">
        <v>90</v>
      </c>
      <c r="C159" s="3" t="s">
        <v>420</v>
      </c>
      <c r="D159" s="5" t="n">
        <v>72.2</v>
      </c>
      <c r="E159" s="6" t="n">
        <v>1109</v>
      </c>
      <c r="F159" s="7" t="n">
        <v>34341</v>
      </c>
      <c r="G159" s="8" t="n">
        <v>11309</v>
      </c>
      <c r="H159" s="8" t="n">
        <v>21149</v>
      </c>
      <c r="I159" s="8" t="n">
        <v>57010</v>
      </c>
      <c r="J159" s="5" t="n">
        <v>60.1</v>
      </c>
      <c r="K159" s="8" t="n">
        <v>19250</v>
      </c>
      <c r="L159" s="6" t="n">
        <v>0</v>
      </c>
      <c r="M159" s="3" t="s">
        <v>134</v>
      </c>
      <c r="N159" s="3" t="str">
        <f aca="false">INDEX('State Mapping'!$B$2:$B$53,MATCH(B159,'State Mapping'!$A$2:$A$53,0))</f>
        <v>Texas</v>
      </c>
      <c r="O159" s="8" t="n">
        <f aca="false">IFERROR(INDEX('State Premium Data'!$D$2:$D$53,MATCH(N159,'State Premium Data'!$A$2:$A$53,0)),"")</f>
        <v>29388</v>
      </c>
      <c r="P159" s="8" t="n">
        <f aca="false">IFERROR(INDEX('State Premium Data'!$C$2:$C$53,MATCH(N159,'State Premium Data'!$A$2:$A$53,0)),"")</f>
        <v>66474</v>
      </c>
      <c r="Q159" s="9" t="n">
        <f aca="false">IFERROR(K159/O159,"")</f>
        <v>0.655029263645025</v>
      </c>
      <c r="R159" s="8" t="n">
        <f aca="false">IFERROR(I159-P159,"")</f>
        <v>-9464</v>
      </c>
      <c r="S159" s="10" t="n">
        <f aca="false">IFERROR(R159/P159,"")</f>
        <v>-0.142371453500617</v>
      </c>
    </row>
    <row r="160" customFormat="false" ht="15" hidden="false" customHeight="true" outlineLevel="0" collapsed="false">
      <c r="A160" s="3" t="s">
        <v>421</v>
      </c>
      <c r="B160" s="3" t="s">
        <v>22</v>
      </c>
      <c r="C160" s="3" t="s">
        <v>422</v>
      </c>
      <c r="D160" s="5" t="n">
        <v>72.3</v>
      </c>
      <c r="E160" s="6" t="n">
        <v>1013</v>
      </c>
      <c r="F160" s="7" t="n">
        <v>6622</v>
      </c>
      <c r="G160" s="8" t="n">
        <v>6124</v>
      </c>
      <c r="H160" s="8" t="n">
        <v>17836</v>
      </c>
      <c r="I160" s="8" t="n">
        <v>49361</v>
      </c>
      <c r="J160" s="5" t="n">
        <v>42</v>
      </c>
      <c r="K160" s="8" t="n">
        <v>24779</v>
      </c>
      <c r="L160" s="6" t="n">
        <v>0</v>
      </c>
      <c r="M160" s="3" t="s">
        <v>134</v>
      </c>
      <c r="N160" s="3" t="str">
        <f aca="false">INDEX('State Mapping'!$B$2:$B$53,MATCH(B160,'State Mapping'!$A$2:$A$53,0))</f>
        <v>Georgia</v>
      </c>
      <c r="O160" s="8" t="n">
        <f aca="false">IFERROR(INDEX('State Premium Data'!$D$2:$D$53,MATCH(N160,'State Premium Data'!$A$2:$A$53,0)),"")</f>
        <v>27365</v>
      </c>
      <c r="P160" s="8" t="n">
        <f aca="false">IFERROR(INDEX('State Premium Data'!$C$2:$C$53,MATCH(N160,'State Premium Data'!$A$2:$A$53,0)),"")</f>
        <v>64185</v>
      </c>
      <c r="Q160" s="9" t="n">
        <f aca="false">IFERROR(K160/O160,"")</f>
        <v>0.905499725927279</v>
      </c>
      <c r="R160" s="8" t="n">
        <f aca="false">IFERROR(I160-P160,"")</f>
        <v>-14824</v>
      </c>
      <c r="S160" s="10" t="n">
        <f aca="false">IFERROR(R160/P160,"")</f>
        <v>-0.230957388798006</v>
      </c>
    </row>
    <row r="161" customFormat="false" ht="15" hidden="false" customHeight="true" outlineLevel="0" collapsed="false">
      <c r="A161" s="3" t="s">
        <v>423</v>
      </c>
      <c r="B161" s="3" t="s">
        <v>32</v>
      </c>
      <c r="C161" s="3" t="s">
        <v>424</v>
      </c>
      <c r="D161" s="5" t="n">
        <v>72.4</v>
      </c>
      <c r="E161" s="6" t="n">
        <v>1024</v>
      </c>
      <c r="F161" s="7" t="n">
        <v>5671</v>
      </c>
      <c r="G161" s="8" t="n">
        <v>8675</v>
      </c>
      <c r="H161" s="8" t="n">
        <v>16094</v>
      </c>
      <c r="I161" s="8" t="n">
        <v>48318</v>
      </c>
      <c r="J161" s="5" t="n">
        <v>43.5</v>
      </c>
      <c r="K161" s="8" t="n">
        <v>21229</v>
      </c>
      <c r="L161" s="6" t="n">
        <v>0</v>
      </c>
      <c r="M161" s="3" t="s">
        <v>134</v>
      </c>
      <c r="N161" s="3" t="str">
        <f aca="false">INDEX('State Mapping'!$B$2:$B$53,MATCH(B161,'State Mapping'!$A$2:$A$53,0))</f>
        <v>Indiana</v>
      </c>
      <c r="O161" s="8" t="n">
        <f aca="false">IFERROR(INDEX('State Premium Data'!$D$2:$D$53,MATCH(N161,'State Premium Data'!$A$2:$A$53,0)),"")</f>
        <v>21077</v>
      </c>
      <c r="P161" s="8" t="n">
        <f aca="false">IFERROR(INDEX('State Premium Data'!$C$2:$C$53,MATCH(N161,'State Premium Data'!$A$2:$A$53,0)),"")</f>
        <v>60573</v>
      </c>
      <c r="Q161" s="9" t="n">
        <f aca="false">IFERROR(K161/O161,"")</f>
        <v>1.00721165251222</v>
      </c>
      <c r="R161" s="8" t="n">
        <f aca="false">IFERROR(I161-P161,"")</f>
        <v>-12255</v>
      </c>
      <c r="S161" s="10" t="n">
        <f aca="false">IFERROR(R161/P161,"")</f>
        <v>-0.202317864395028</v>
      </c>
    </row>
    <row r="162" customFormat="false" ht="15" hidden="false" customHeight="true" outlineLevel="0" collapsed="false">
      <c r="A162" s="3" t="s">
        <v>425</v>
      </c>
      <c r="B162" s="3" t="s">
        <v>42</v>
      </c>
      <c r="C162" s="3" t="s">
        <v>426</v>
      </c>
      <c r="D162" s="5" t="n">
        <v>72.4</v>
      </c>
      <c r="E162" s="6"/>
      <c r="F162" s="7" t="n">
        <v>5043</v>
      </c>
      <c r="G162" s="8" t="n">
        <v>9218</v>
      </c>
      <c r="H162" s="8" t="n">
        <v>19938</v>
      </c>
      <c r="I162" s="8" t="n">
        <v>54537</v>
      </c>
      <c r="J162" s="5" t="n">
        <v>38.2</v>
      </c>
      <c r="K162" s="8" t="n">
        <v>22985</v>
      </c>
      <c r="L162" s="6" t="n">
        <v>0</v>
      </c>
      <c r="M162" s="3" t="s">
        <v>134</v>
      </c>
      <c r="N162" s="3" t="str">
        <f aca="false">INDEX('State Mapping'!$B$2:$B$53,MATCH(B162,'State Mapping'!$A$2:$A$53,0))</f>
        <v>Maryland</v>
      </c>
      <c r="O162" s="8" t="n">
        <f aca="false">IFERROR(INDEX('State Premium Data'!$D$2:$D$53,MATCH(N162,'State Premium Data'!$A$2:$A$53,0)),"")</f>
        <v>33970</v>
      </c>
      <c r="P162" s="8" t="n">
        <f aca="false">IFERROR(INDEX('State Premium Data'!$C$2:$C$53,MATCH(N162,'State Premium Data'!$A$2:$A$53,0)),"")</f>
        <v>76748</v>
      </c>
      <c r="Q162" s="9" t="n">
        <f aca="false">IFERROR(K162/O162,"")</f>
        <v>0.676626435089785</v>
      </c>
      <c r="R162" s="8" t="n">
        <f aca="false">IFERROR(I162-P162,"")</f>
        <v>-22211</v>
      </c>
      <c r="S162" s="10" t="n">
        <f aca="false">IFERROR(R162/P162,"")</f>
        <v>-0.289401678219628</v>
      </c>
    </row>
    <row r="163" customFormat="false" ht="15" hidden="false" customHeight="true" outlineLevel="0" collapsed="false">
      <c r="A163" s="3" t="s">
        <v>427</v>
      </c>
      <c r="B163" s="3" t="s">
        <v>42</v>
      </c>
      <c r="C163" s="3" t="s">
        <v>156</v>
      </c>
      <c r="D163" s="5" t="n">
        <v>72.4</v>
      </c>
      <c r="E163" s="6" t="n">
        <v>1323</v>
      </c>
      <c r="F163" s="7" t="n">
        <v>10701</v>
      </c>
      <c r="G163" s="8" t="n">
        <v>13256</v>
      </c>
      <c r="H163" s="8" t="n">
        <v>31275</v>
      </c>
      <c r="I163" s="8" t="n">
        <v>69960</v>
      </c>
      <c r="J163" s="5" t="n">
        <v>70.3</v>
      </c>
      <c r="K163" s="8" t="n">
        <v>19500</v>
      </c>
      <c r="L163" s="6" t="n">
        <v>0</v>
      </c>
      <c r="M163" s="3" t="s">
        <v>134</v>
      </c>
      <c r="N163" s="3" t="str">
        <f aca="false">INDEX('State Mapping'!$B$2:$B$53,MATCH(B163,'State Mapping'!$A$2:$A$53,0))</f>
        <v>Maryland</v>
      </c>
      <c r="O163" s="8" t="n">
        <f aca="false">IFERROR(INDEX('State Premium Data'!$D$2:$D$53,MATCH(N163,'State Premium Data'!$A$2:$A$53,0)),"")</f>
        <v>33970</v>
      </c>
      <c r="P163" s="8" t="n">
        <f aca="false">IFERROR(INDEX('State Premium Data'!$C$2:$C$53,MATCH(N163,'State Premium Data'!$A$2:$A$53,0)),"")</f>
        <v>76748</v>
      </c>
      <c r="Q163" s="9" t="n">
        <f aca="false">IFERROR(K163/O163,"")</f>
        <v>0.574035914041802</v>
      </c>
      <c r="R163" s="8" t="n">
        <f aca="false">IFERROR(I163-P163,"")</f>
        <v>-6788</v>
      </c>
      <c r="S163" s="10" t="n">
        <f aca="false">IFERROR(R163/P163,"")</f>
        <v>-0.0884453015062282</v>
      </c>
    </row>
    <row r="164" customFormat="false" ht="15" hidden="false" customHeight="true" outlineLevel="0" collapsed="false">
      <c r="A164" s="3" t="s">
        <v>428</v>
      </c>
      <c r="B164" s="3" t="s">
        <v>50</v>
      </c>
      <c r="C164" s="3" t="s">
        <v>429</v>
      </c>
      <c r="D164" s="5" t="n">
        <v>72.5</v>
      </c>
      <c r="E164" s="6" t="n">
        <v>1317</v>
      </c>
      <c r="F164" s="7" t="n">
        <v>5521</v>
      </c>
      <c r="G164" s="8" t="n">
        <v>14984</v>
      </c>
      <c r="H164" s="8" t="n">
        <v>33248</v>
      </c>
      <c r="I164" s="8" t="n">
        <v>82957</v>
      </c>
      <c r="J164" s="5" t="n">
        <v>64</v>
      </c>
      <c r="K164" s="8" t="n">
        <v>23250</v>
      </c>
      <c r="L164" s="6" t="n">
        <v>0</v>
      </c>
      <c r="M164" s="3" t="s">
        <v>134</v>
      </c>
      <c r="N164" s="3" t="str">
        <f aca="false">INDEX('State Mapping'!$B$2:$B$53,MATCH(B164,'State Mapping'!$A$2:$A$53,0))</f>
        <v>Missouri</v>
      </c>
      <c r="O164" s="8" t="n">
        <f aca="false">IFERROR(INDEX('State Premium Data'!$D$2:$D$53,MATCH(N164,'State Premium Data'!$A$2:$A$53,0)),"")</f>
        <v>23998</v>
      </c>
      <c r="P164" s="8" t="n">
        <f aca="false">IFERROR(INDEX('State Premium Data'!$C$2:$C$53,MATCH(N164,'State Premium Data'!$A$2:$A$53,0)),"")</f>
        <v>61418</v>
      </c>
      <c r="Q164" s="9" t="n">
        <f aca="false">IFERROR(K164/O164,"")</f>
        <v>0.968830735894658</v>
      </c>
      <c r="R164" s="8" t="n">
        <f aca="false">IFERROR(I164-P164,"")</f>
        <v>21539</v>
      </c>
      <c r="S164" s="10" t="n">
        <f aca="false">IFERROR(R164/P164,"")</f>
        <v>0.350695235924322</v>
      </c>
    </row>
    <row r="165" customFormat="false" ht="15" hidden="false" customHeight="true" outlineLevel="0" collapsed="false">
      <c r="A165" s="3" t="s">
        <v>430</v>
      </c>
      <c r="B165" s="3" t="s">
        <v>90</v>
      </c>
      <c r="C165" s="3" t="s">
        <v>431</v>
      </c>
      <c r="D165" s="5" t="n">
        <v>72.7</v>
      </c>
      <c r="E165" s="6" t="n">
        <v>1190</v>
      </c>
      <c r="F165" s="7" t="n">
        <v>32394</v>
      </c>
      <c r="G165" s="8" t="n">
        <v>11852</v>
      </c>
      <c r="H165" s="8" t="n">
        <v>24451</v>
      </c>
      <c r="I165" s="8" t="n">
        <v>62454</v>
      </c>
      <c r="J165" s="5" t="n">
        <v>68.1</v>
      </c>
      <c r="K165" s="8" t="n">
        <v>21500</v>
      </c>
      <c r="L165" s="6" t="n">
        <v>0</v>
      </c>
      <c r="M165" s="3" t="s">
        <v>150</v>
      </c>
      <c r="N165" s="3" t="str">
        <f aca="false">INDEX('State Mapping'!$B$2:$B$53,MATCH(B165,'State Mapping'!$A$2:$A$53,0))</f>
        <v>Texas</v>
      </c>
      <c r="O165" s="8" t="n">
        <f aca="false">IFERROR(INDEX('State Premium Data'!$D$2:$D$53,MATCH(N165,'State Premium Data'!$A$2:$A$53,0)),"")</f>
        <v>29388</v>
      </c>
      <c r="P165" s="8" t="n">
        <f aca="false">IFERROR(INDEX('State Premium Data'!$C$2:$C$53,MATCH(N165,'State Premium Data'!$A$2:$A$53,0)),"")</f>
        <v>66474</v>
      </c>
      <c r="Q165" s="9" t="n">
        <f aca="false">IFERROR(K165/O165,"")</f>
        <v>0.731591125629509</v>
      </c>
      <c r="R165" s="8" t="n">
        <f aca="false">IFERROR(I165-P165,"")</f>
        <v>-4020</v>
      </c>
      <c r="S165" s="10" t="n">
        <f aca="false">IFERROR(R165/P165,"")</f>
        <v>-0.060474772091344</v>
      </c>
    </row>
    <row r="166" customFormat="false" ht="15" hidden="false" customHeight="true" outlineLevel="0" collapsed="false">
      <c r="A166" s="3" t="s">
        <v>432</v>
      </c>
      <c r="B166" s="3" t="s">
        <v>70</v>
      </c>
      <c r="C166" s="3" t="s">
        <v>433</v>
      </c>
      <c r="D166" s="5" t="n">
        <v>73</v>
      </c>
      <c r="E166" s="6" t="n">
        <v>1070</v>
      </c>
      <c r="F166" s="7" t="n">
        <v>5097</v>
      </c>
      <c r="G166" s="8" t="n">
        <v>8533</v>
      </c>
      <c r="H166" s="8" t="n">
        <v>19653</v>
      </c>
      <c r="I166" s="8" t="n">
        <v>52334</v>
      </c>
      <c r="J166" s="5" t="n">
        <v>34.7</v>
      </c>
      <c r="K166" s="8" t="n">
        <v>21028</v>
      </c>
      <c r="L166" s="6" t="n">
        <v>0</v>
      </c>
      <c r="M166" s="3" t="s">
        <v>134</v>
      </c>
      <c r="N166" s="3" t="str">
        <f aca="false">INDEX('State Mapping'!$B$2:$B$53,MATCH(B166,'State Mapping'!$A$2:$A$53,0))</f>
        <v>New York</v>
      </c>
      <c r="O166" s="8" t="n">
        <f aca="false">IFERROR(INDEX('State Premium Data'!$D$2:$D$53,MATCH(N166,'State Premium Data'!$A$2:$A$53,0)),"")</f>
        <v>34733</v>
      </c>
      <c r="P166" s="8" t="n">
        <f aca="false">IFERROR(INDEX('State Premium Data'!$C$2:$C$53,MATCH(N166,'State Premium Data'!$A$2:$A$53,0)),"")</f>
        <v>74504</v>
      </c>
      <c r="Q166" s="9" t="n">
        <f aca="false">IFERROR(K166/O166,"")</f>
        <v>0.605418478104396</v>
      </c>
      <c r="R166" s="8" t="n">
        <f aca="false">IFERROR(I166-P166,"")</f>
        <v>-22170</v>
      </c>
      <c r="S166" s="10" t="n">
        <f aca="false">IFERROR(R166/P166,"")</f>
        <v>-0.2975679158166</v>
      </c>
    </row>
    <row r="167" customFormat="false" ht="15" hidden="false" customHeight="true" outlineLevel="0" collapsed="false">
      <c r="A167" s="3" t="s">
        <v>434</v>
      </c>
      <c r="B167" s="3" t="s">
        <v>20</v>
      </c>
      <c r="C167" s="3" t="s">
        <v>435</v>
      </c>
      <c r="D167" s="5" t="n">
        <v>73.2</v>
      </c>
      <c r="E167" s="6" t="n">
        <v>1157</v>
      </c>
      <c r="F167" s="7" t="n">
        <v>7240</v>
      </c>
      <c r="G167" s="8" t="n">
        <v>38700</v>
      </c>
      <c r="H167" s="8" t="n">
        <v>38700</v>
      </c>
      <c r="I167" s="8" t="n">
        <v>59209</v>
      </c>
      <c r="J167" s="5" t="n">
        <v>63.8</v>
      </c>
      <c r="K167" s="8" t="n">
        <v>24250</v>
      </c>
      <c r="L167" s="6" t="n">
        <v>0</v>
      </c>
      <c r="M167" s="3" t="s">
        <v>134</v>
      </c>
      <c r="N167" s="3" t="str">
        <f aca="false">INDEX('State Mapping'!$B$2:$B$53,MATCH(B167,'State Mapping'!$A$2:$A$53,0))</f>
        <v>Florida</v>
      </c>
      <c r="O167" s="8" t="n">
        <f aca="false">IFERROR(INDEX('State Premium Data'!$D$2:$D$53,MATCH(N167,'State Premium Data'!$A$2:$A$53,0)),"")</f>
        <v>21625</v>
      </c>
      <c r="P167" s="8" t="n">
        <f aca="false">IFERROR(INDEX('State Premium Data'!$C$2:$C$53,MATCH(N167,'State Premium Data'!$A$2:$A$53,0)),"")</f>
        <v>58009</v>
      </c>
      <c r="Q167" s="9" t="n">
        <f aca="false">IFERROR(K167/O167,"")</f>
        <v>1.12138728323699</v>
      </c>
      <c r="R167" s="8" t="n">
        <f aca="false">IFERROR(I167-P167,"")</f>
        <v>1200</v>
      </c>
      <c r="S167" s="10" t="n">
        <f aca="false">IFERROR(R167/P167,"")</f>
        <v>0.0206864452067783</v>
      </c>
    </row>
    <row r="168" customFormat="false" ht="15" hidden="false" customHeight="true" outlineLevel="0" collapsed="false">
      <c r="A168" s="3" t="s">
        <v>436</v>
      </c>
      <c r="B168" s="3" t="s">
        <v>64</v>
      </c>
      <c r="C168" s="3" t="s">
        <v>437</v>
      </c>
      <c r="D168" s="5" t="n">
        <v>73.3</v>
      </c>
      <c r="E168" s="6" t="n">
        <v>1322</v>
      </c>
      <c r="F168" s="7" t="n">
        <v>6036</v>
      </c>
      <c r="G168" s="8" t="n">
        <v>53170</v>
      </c>
      <c r="H168" s="8" t="n">
        <v>53170</v>
      </c>
      <c r="I168" s="8" t="n">
        <v>70196</v>
      </c>
      <c r="J168" s="5" t="n">
        <v>70.5</v>
      </c>
      <c r="K168" s="8" t="n">
        <v>22750</v>
      </c>
      <c r="L168" s="6" t="n">
        <v>0</v>
      </c>
      <c r="M168" s="3" t="s">
        <v>134</v>
      </c>
      <c r="N168" s="3" t="str">
        <f aca="false">INDEX('State Mapping'!$B$2:$B$53,MATCH(B168,'State Mapping'!$A$2:$A$53,0))</f>
        <v>New Jersey</v>
      </c>
      <c r="O168" s="8" t="n">
        <f aca="false">IFERROR(INDEX('State Premium Data'!$D$2:$D$53,MATCH(N168,'State Premium Data'!$A$2:$A$53,0)),"")</f>
        <v>38586</v>
      </c>
      <c r="P168" s="8" t="n">
        <f aca="false">IFERROR(INDEX('State Premium Data'!$C$2:$C$53,MATCH(N168,'State Premium Data'!$A$2:$A$53,0)),"")</f>
        <v>80114</v>
      </c>
      <c r="Q168" s="9" t="n">
        <f aca="false">IFERROR(K168/O168,"")</f>
        <v>0.589592080029026</v>
      </c>
      <c r="R168" s="8" t="n">
        <f aca="false">IFERROR(I168-P168,"")</f>
        <v>-9918</v>
      </c>
      <c r="S168" s="10" t="n">
        <f aca="false">IFERROR(R168/P168,"")</f>
        <v>-0.123798587013506</v>
      </c>
    </row>
    <row r="169" customFormat="false" ht="15" hidden="false" customHeight="true" outlineLevel="0" collapsed="false">
      <c r="A169" s="3" t="s">
        <v>438</v>
      </c>
      <c r="B169" s="3" t="s">
        <v>38</v>
      </c>
      <c r="C169" s="3" t="s">
        <v>218</v>
      </c>
      <c r="D169" s="5" t="n">
        <v>73.3</v>
      </c>
      <c r="E169" s="6" t="n">
        <v>1285</v>
      </c>
      <c r="F169" s="7" t="n">
        <v>30594</v>
      </c>
      <c r="G169" s="8" t="n">
        <v>11954</v>
      </c>
      <c r="H169" s="8" t="n">
        <v>28631</v>
      </c>
      <c r="I169" s="8" t="n">
        <v>61251</v>
      </c>
      <c r="J169" s="5" t="n">
        <v>69.8</v>
      </c>
      <c r="K169" s="8" t="n">
        <v>20500</v>
      </c>
      <c r="L169" s="6" t="n">
        <v>0</v>
      </c>
      <c r="M169" s="3" t="s">
        <v>134</v>
      </c>
      <c r="N169" s="3" t="str">
        <f aca="false">INDEX('State Mapping'!$B$2:$B$53,MATCH(B169,'State Mapping'!$A$2:$A$53,0))</f>
        <v>Louisiana</v>
      </c>
      <c r="O169" s="8" t="n">
        <f aca="false">IFERROR(INDEX('State Premium Data'!$D$2:$D$53,MATCH(N169,'State Premium Data'!$A$2:$A$53,0)),"")</f>
        <v>20975</v>
      </c>
      <c r="P169" s="8" t="n">
        <f aca="false">IFERROR(INDEX('State Premium Data'!$C$2:$C$53,MATCH(N169,'State Premium Data'!$A$2:$A$53,0)),"")</f>
        <v>57107</v>
      </c>
      <c r="Q169" s="9" t="n">
        <f aca="false">IFERROR(K169/O169,"")</f>
        <v>0.977353992848629</v>
      </c>
      <c r="R169" s="8" t="n">
        <f aca="false">IFERROR(I169-P169,"")</f>
        <v>4144</v>
      </c>
      <c r="S169" s="10" t="n">
        <f aca="false">IFERROR(R169/P169,"")</f>
        <v>0.0725655348731329</v>
      </c>
    </row>
    <row r="170" customFormat="false" ht="15" hidden="false" customHeight="true" outlineLevel="0" collapsed="false">
      <c r="A170" s="3" t="s">
        <v>439</v>
      </c>
      <c r="B170" s="3" t="s">
        <v>14</v>
      </c>
      <c r="C170" s="3" t="s">
        <v>440</v>
      </c>
      <c r="D170" s="5" t="n">
        <v>73.3</v>
      </c>
      <c r="E170" s="6" t="n">
        <v>1080</v>
      </c>
      <c r="F170" s="7" t="n">
        <v>7822</v>
      </c>
      <c r="G170" s="8" t="n">
        <v>13050</v>
      </c>
      <c r="H170" s="8" t="n">
        <v>16550</v>
      </c>
      <c r="I170" s="8" t="n">
        <v>58562</v>
      </c>
      <c r="J170" s="5" t="n">
        <v>48.9</v>
      </c>
      <c r="K170" s="8" t="n">
        <v>22300</v>
      </c>
      <c r="L170" s="6" t="n">
        <v>0</v>
      </c>
      <c r="M170" s="3" t="s">
        <v>134</v>
      </c>
      <c r="N170" s="3" t="str">
        <f aca="false">INDEX('State Mapping'!$B$2:$B$53,MATCH(B170,'State Mapping'!$A$2:$A$53,0))</f>
        <v>Connecticut</v>
      </c>
      <c r="O170" s="8" t="n">
        <f aca="false">IFERROR(INDEX('State Premium Data'!$D$2:$D$53,MATCH(N170,'State Premium Data'!$A$2:$A$53,0)),"")</f>
        <v>33855</v>
      </c>
      <c r="P170" s="8" t="n">
        <f aca="false">IFERROR(INDEX('State Premium Data'!$C$2:$C$53,MATCH(N170,'State Premium Data'!$A$2:$A$53,0)),"")</f>
        <v>75975</v>
      </c>
      <c r="Q170" s="9" t="n">
        <f aca="false">IFERROR(K170/O170,"")</f>
        <v>0.65869147836361</v>
      </c>
      <c r="R170" s="8" t="n">
        <f aca="false">IFERROR(I170-P170,"")</f>
        <v>-17413</v>
      </c>
      <c r="S170" s="10" t="n">
        <f aca="false">IFERROR(R170/P170,"")</f>
        <v>-0.229193813754525</v>
      </c>
    </row>
    <row r="171" customFormat="false" ht="15" hidden="false" customHeight="true" outlineLevel="0" collapsed="false">
      <c r="A171" s="3" t="s">
        <v>441</v>
      </c>
      <c r="B171" s="3" t="s">
        <v>50</v>
      </c>
      <c r="C171" s="3" t="s">
        <v>442</v>
      </c>
      <c r="D171" s="5" t="n">
        <v>73.5</v>
      </c>
      <c r="E171" s="6" t="n">
        <v>950</v>
      </c>
      <c r="F171" s="7" t="n">
        <v>6373</v>
      </c>
      <c r="G171" s="8" t="n">
        <v>9903</v>
      </c>
      <c r="H171" s="8" t="n">
        <v>9903</v>
      </c>
      <c r="I171" s="8" t="n">
        <v>44030</v>
      </c>
      <c r="J171" s="5" t="n">
        <v>56.7</v>
      </c>
      <c r="K171" s="8" t="n">
        <v>21500</v>
      </c>
      <c r="L171" s="6" t="n">
        <v>0</v>
      </c>
      <c r="M171" s="3" t="s">
        <v>134</v>
      </c>
      <c r="N171" s="3" t="str">
        <f aca="false">INDEX('State Mapping'!$B$2:$B$53,MATCH(B171,'State Mapping'!$A$2:$A$53,0))</f>
        <v>Missouri</v>
      </c>
      <c r="O171" s="8" t="n">
        <f aca="false">IFERROR(INDEX('State Premium Data'!$D$2:$D$53,MATCH(N171,'State Premium Data'!$A$2:$A$53,0)),"")</f>
        <v>23998</v>
      </c>
      <c r="P171" s="8" t="n">
        <f aca="false">IFERROR(INDEX('State Premium Data'!$C$2:$C$53,MATCH(N171,'State Premium Data'!$A$2:$A$53,0)),"")</f>
        <v>61418</v>
      </c>
      <c r="Q171" s="9" t="n">
        <f aca="false">IFERROR(K171/O171,"")</f>
        <v>0.895907992332694</v>
      </c>
      <c r="R171" s="8" t="n">
        <f aca="false">IFERROR(I171-P171,"")</f>
        <v>-17388</v>
      </c>
      <c r="S171" s="10" t="n">
        <f aca="false">IFERROR(R171/P171,"")</f>
        <v>-0.283109186232049</v>
      </c>
    </row>
    <row r="172" customFormat="false" ht="15" hidden="false" customHeight="true" outlineLevel="0" collapsed="false">
      <c r="A172" s="3" t="s">
        <v>443</v>
      </c>
      <c r="B172" s="3" t="s">
        <v>68</v>
      </c>
      <c r="C172" s="3" t="s">
        <v>444</v>
      </c>
      <c r="D172" s="5" t="n">
        <v>73.7</v>
      </c>
      <c r="E172" s="6" t="n">
        <v>1132</v>
      </c>
      <c r="F172" s="7" t="n">
        <v>15599</v>
      </c>
      <c r="G172" s="8" t="n">
        <v>9578</v>
      </c>
      <c r="H172" s="8" t="n">
        <v>27720</v>
      </c>
      <c r="I172" s="8" t="n">
        <v>60614</v>
      </c>
      <c r="J172" s="5" t="n">
        <v>61.8</v>
      </c>
      <c r="K172" s="8" t="n">
        <v>18922</v>
      </c>
      <c r="L172" s="6" t="n">
        <v>0</v>
      </c>
      <c r="M172" s="3" t="s">
        <v>134</v>
      </c>
      <c r="N172" s="3" t="str">
        <f aca="false">INDEX('State Mapping'!$B$2:$B$53,MATCH(B172,'State Mapping'!$A$2:$A$53,0))</f>
        <v>Nevada</v>
      </c>
      <c r="O172" s="8" t="n">
        <f aca="false">IFERROR(INDEX('State Premium Data'!$D$2:$D$53,MATCH(N172,'State Premium Data'!$A$2:$A$53,0)),"")</f>
        <v>21685</v>
      </c>
      <c r="P172" s="8" t="n">
        <f aca="false">IFERROR(INDEX('State Premium Data'!$C$2:$C$53,MATCH(N172,'State Premium Data'!$A$2:$A$53,0)),"")</f>
        <v>60775</v>
      </c>
      <c r="Q172" s="9" t="n">
        <f aca="false">IFERROR(K172/O172,"")</f>
        <v>0.872584735992622</v>
      </c>
      <c r="R172" s="8" t="n">
        <f aca="false">IFERROR(I172-P172,"")</f>
        <v>-161</v>
      </c>
      <c r="S172" s="10" t="n">
        <f aca="false">IFERROR(R172/P172,"")</f>
        <v>-0.00264911559029206</v>
      </c>
    </row>
    <row r="173" customFormat="false" ht="15" hidden="false" customHeight="true" outlineLevel="0" collapsed="false">
      <c r="A173" s="3" t="s">
        <v>445</v>
      </c>
      <c r="B173" s="3" t="s">
        <v>90</v>
      </c>
      <c r="C173" s="3" t="s">
        <v>446</v>
      </c>
      <c r="D173" s="5" t="n">
        <v>73.9</v>
      </c>
      <c r="E173" s="6" t="n">
        <v>1250</v>
      </c>
      <c r="F173" s="7" t="n">
        <v>38380</v>
      </c>
      <c r="G173" s="8" t="n">
        <v>9717</v>
      </c>
      <c r="H173" s="8" t="n">
        <v>22547</v>
      </c>
      <c r="I173" s="8" t="n">
        <v>62377</v>
      </c>
      <c r="J173" s="5" t="n">
        <v>64.7</v>
      </c>
      <c r="K173" s="8" t="n">
        <v>18194</v>
      </c>
      <c r="L173" s="6" t="n">
        <v>0</v>
      </c>
      <c r="M173" s="3" t="s">
        <v>150</v>
      </c>
      <c r="N173" s="3" t="str">
        <f aca="false">INDEX('State Mapping'!$B$2:$B$53,MATCH(B173,'State Mapping'!$A$2:$A$53,0))</f>
        <v>Texas</v>
      </c>
      <c r="O173" s="8" t="n">
        <f aca="false">IFERROR(INDEX('State Premium Data'!$D$2:$D$53,MATCH(N173,'State Premium Data'!$A$2:$A$53,0)),"")</f>
        <v>29388</v>
      </c>
      <c r="P173" s="8" t="n">
        <f aca="false">IFERROR(INDEX('State Premium Data'!$C$2:$C$53,MATCH(N173,'State Premium Data'!$A$2:$A$53,0)),"")</f>
        <v>66474</v>
      </c>
      <c r="Q173" s="9" t="n">
        <f aca="false">IFERROR(K173/O173,"")</f>
        <v>0.619096229753641</v>
      </c>
      <c r="R173" s="8" t="n">
        <f aca="false">IFERROR(I173-P173,"")</f>
        <v>-4097</v>
      </c>
      <c r="S173" s="10" t="n">
        <f aca="false">IFERROR(R173/P173,"")</f>
        <v>-0.0616331197159792</v>
      </c>
    </row>
    <row r="174" customFormat="false" ht="15" hidden="false" customHeight="true" outlineLevel="0" collapsed="false">
      <c r="A174" s="3" t="s">
        <v>447</v>
      </c>
      <c r="B174" s="3" t="s">
        <v>70</v>
      </c>
      <c r="C174" s="3" t="s">
        <v>433</v>
      </c>
      <c r="D174" s="5" t="n">
        <v>74.2</v>
      </c>
      <c r="E174" s="6" t="n">
        <v>1295</v>
      </c>
      <c r="F174" s="7" t="n">
        <v>20112</v>
      </c>
      <c r="G174" s="8" t="n">
        <v>10936</v>
      </c>
      <c r="H174" s="8" t="n">
        <v>31536</v>
      </c>
      <c r="I174" s="8" t="n">
        <v>70814</v>
      </c>
      <c r="J174" s="5" t="n">
        <v>74.3</v>
      </c>
      <c r="K174" s="8" t="n">
        <v>19000</v>
      </c>
      <c r="L174" s="6" t="n">
        <v>0</v>
      </c>
      <c r="M174" s="3" t="s">
        <v>134</v>
      </c>
      <c r="N174" s="3" t="str">
        <f aca="false">INDEX('State Mapping'!$B$2:$B$53,MATCH(B174,'State Mapping'!$A$2:$A$53,0))</f>
        <v>New York</v>
      </c>
      <c r="O174" s="8" t="n">
        <f aca="false">IFERROR(INDEX('State Premium Data'!$D$2:$D$53,MATCH(N174,'State Premium Data'!$A$2:$A$53,0)),"")</f>
        <v>34733</v>
      </c>
      <c r="P174" s="8" t="n">
        <f aca="false">IFERROR(INDEX('State Premium Data'!$C$2:$C$53,MATCH(N174,'State Premium Data'!$A$2:$A$53,0)),"")</f>
        <v>74504</v>
      </c>
      <c r="Q174" s="9" t="n">
        <f aca="false">IFERROR(K174/O174,"")</f>
        <v>0.547030201825353</v>
      </c>
      <c r="R174" s="8" t="n">
        <f aca="false">IFERROR(I174-P174,"")</f>
        <v>-3690</v>
      </c>
      <c r="S174" s="10" t="n">
        <f aca="false">IFERROR(R174/P174,"")</f>
        <v>-0.0495275421453882</v>
      </c>
    </row>
    <row r="175" customFormat="false" ht="15" hidden="false" customHeight="true" outlineLevel="0" collapsed="false">
      <c r="A175" s="3" t="s">
        <v>448</v>
      </c>
      <c r="B175" s="3" t="s">
        <v>6</v>
      </c>
      <c r="C175" s="3" t="s">
        <v>449</v>
      </c>
      <c r="D175" s="5" t="n">
        <v>74.3</v>
      </c>
      <c r="E175" s="6" t="n">
        <v>1169</v>
      </c>
      <c r="F175" s="7" t="n">
        <v>28677</v>
      </c>
      <c r="G175" s="8" t="n">
        <v>10104</v>
      </c>
      <c r="H175" s="8" t="n">
        <v>29966</v>
      </c>
      <c r="I175" s="8" t="n">
        <v>58191</v>
      </c>
      <c r="J175" s="5" t="n">
        <v>70.2</v>
      </c>
      <c r="K175" s="8" t="n">
        <v>21500</v>
      </c>
      <c r="L175" s="6" t="n">
        <v>0</v>
      </c>
      <c r="M175" s="3" t="s">
        <v>150</v>
      </c>
      <c r="N175" s="3" t="str">
        <f aca="false">INDEX('State Mapping'!$B$2:$B$53,MATCH(B175,'State Mapping'!$A$2:$A$53,0))</f>
        <v>Arkansas</v>
      </c>
      <c r="O175" s="8" t="n">
        <f aca="false">IFERROR(INDEX('State Premium Data'!$D$2:$D$53,MATCH(N175,'State Premium Data'!$A$2:$A$53,0)),"")</f>
        <v>20302</v>
      </c>
      <c r="P175" s="8" t="n">
        <f aca="false">IFERROR(INDEX('State Premium Data'!$C$2:$C$53,MATCH(N175,'State Premium Data'!$A$2:$A$53,0)),"")</f>
        <v>56314</v>
      </c>
      <c r="Q175" s="9" t="n">
        <f aca="false">IFERROR(K175/O175,"")</f>
        <v>1.05900896463403</v>
      </c>
      <c r="R175" s="8" t="n">
        <f aca="false">IFERROR(I175-P175,"")</f>
        <v>1877</v>
      </c>
      <c r="S175" s="10" t="n">
        <f aca="false">IFERROR(R175/P175,"")</f>
        <v>0.0333309656568526</v>
      </c>
    </row>
    <row r="176" customFormat="false" ht="15" hidden="false" customHeight="true" outlineLevel="0" collapsed="false">
      <c r="A176" s="3" t="s">
        <v>450</v>
      </c>
      <c r="B176" s="3" t="s">
        <v>94</v>
      </c>
      <c r="C176" s="3" t="s">
        <v>451</v>
      </c>
      <c r="D176" s="5" t="n">
        <v>74.5</v>
      </c>
      <c r="E176" s="6"/>
      <c r="F176" s="7" t="n">
        <v>12090</v>
      </c>
      <c r="G176" s="8" t="n">
        <v>18484</v>
      </c>
      <c r="H176" s="8" t="n">
        <v>18484</v>
      </c>
      <c r="I176" s="8" t="n">
        <v>42837</v>
      </c>
      <c r="J176" s="5" t="n">
        <v>43.5</v>
      </c>
      <c r="K176" s="8" t="n">
        <v>20000</v>
      </c>
      <c r="L176" s="6" t="n">
        <v>0</v>
      </c>
      <c r="M176" s="3" t="s">
        <v>134</v>
      </c>
      <c r="N176" s="3" t="str">
        <f aca="false">INDEX('State Mapping'!$B$2:$B$53,MATCH(B176,'State Mapping'!$A$2:$A$53,0))</f>
        <v>Virginia</v>
      </c>
      <c r="O176" s="8" t="n">
        <f aca="false">IFERROR(INDEX('State Premium Data'!$D$2:$D$53,MATCH(N176,'State Premium Data'!$A$2:$A$53,0)),"")</f>
        <v>33407</v>
      </c>
      <c r="P176" s="8" t="n">
        <f aca="false">IFERROR(INDEX('State Premium Data'!$C$2:$C$53,MATCH(N176,'State Premium Data'!$A$2:$A$53,0)),"")</f>
        <v>74468</v>
      </c>
      <c r="Q176" s="9" t="n">
        <f aca="false">IFERROR(K176/O176,"")</f>
        <v>0.598676923997965</v>
      </c>
      <c r="R176" s="8" t="n">
        <f aca="false">IFERROR(I176-P176,"")</f>
        <v>-31631</v>
      </c>
      <c r="S176" s="10" t="n">
        <f aca="false">IFERROR(R176/P176,"")</f>
        <v>-0.424759628296718</v>
      </c>
    </row>
    <row r="177" customFormat="false" ht="15" hidden="false" customHeight="true" outlineLevel="0" collapsed="false">
      <c r="A177" s="3" t="s">
        <v>452</v>
      </c>
      <c r="B177" s="3" t="s">
        <v>12</v>
      </c>
      <c r="C177" s="3" t="s">
        <v>453</v>
      </c>
      <c r="D177" s="5" t="n">
        <v>74.7</v>
      </c>
      <c r="E177" s="6" t="n">
        <v>1116</v>
      </c>
      <c r="F177" s="7" t="n">
        <v>10519</v>
      </c>
      <c r="G177" s="8" t="n">
        <v>10383</v>
      </c>
      <c r="H177" s="8" t="n">
        <v>29391</v>
      </c>
      <c r="I177" s="8" t="n">
        <v>64270</v>
      </c>
      <c r="J177" s="5" t="n">
        <v>46.7</v>
      </c>
      <c r="K177" s="8" t="n">
        <v>20500</v>
      </c>
      <c r="L177" s="6" t="n">
        <v>0</v>
      </c>
      <c r="M177" s="3" t="s">
        <v>134</v>
      </c>
      <c r="N177" s="3" t="str">
        <f aca="false">INDEX('State Mapping'!$B$2:$B$53,MATCH(B177,'State Mapping'!$A$2:$A$53,0))</f>
        <v>Colorado</v>
      </c>
      <c r="O177" s="8" t="n">
        <f aca="false">IFERROR(INDEX('State Premium Data'!$D$2:$D$53,MATCH(N177,'State Premium Data'!$A$2:$A$53,0)),"")</f>
        <v>30531</v>
      </c>
      <c r="P177" s="8" t="n">
        <f aca="false">IFERROR(INDEX('State Premium Data'!$C$2:$C$53,MATCH(N177,'State Premium Data'!$A$2:$A$53,0)),"")</f>
        <v>73072</v>
      </c>
      <c r="Q177" s="9" t="n">
        <f aca="false">IFERROR(K177/O177,"")</f>
        <v>0.671448691493891</v>
      </c>
      <c r="R177" s="8" t="n">
        <f aca="false">IFERROR(I177-P177,"")</f>
        <v>-8802</v>
      </c>
      <c r="S177" s="10" t="n">
        <f aca="false">IFERROR(R177/P177,"")</f>
        <v>-0.120456536019269</v>
      </c>
    </row>
    <row r="178" customFormat="false" ht="15" hidden="false" customHeight="true" outlineLevel="0" collapsed="false">
      <c r="A178" s="3" t="s">
        <v>454</v>
      </c>
      <c r="B178" s="3" t="s">
        <v>74</v>
      </c>
      <c r="C178" s="3" t="s">
        <v>455</v>
      </c>
      <c r="D178" s="5" t="n">
        <v>75</v>
      </c>
      <c r="E178" s="6" t="n">
        <v>1150</v>
      </c>
      <c r="F178" s="7" t="n">
        <v>21773</v>
      </c>
      <c r="G178" s="8" t="n">
        <v>10234</v>
      </c>
      <c r="H178" s="8" t="n">
        <v>25754</v>
      </c>
      <c r="I178" s="8" t="n">
        <v>57413</v>
      </c>
      <c r="J178" s="5" t="n">
        <v>67</v>
      </c>
      <c r="K178" s="8" t="n">
        <v>20500</v>
      </c>
      <c r="L178" s="6" t="n">
        <v>0</v>
      </c>
      <c r="M178" s="3" t="s">
        <v>134</v>
      </c>
      <c r="N178" s="3" t="str">
        <f aca="false">INDEX('State Mapping'!$B$2:$B$53,MATCH(B178,'State Mapping'!$A$2:$A$53,0))</f>
        <v>Oklahoma</v>
      </c>
      <c r="O178" s="8" t="n">
        <f aca="false">IFERROR(INDEX('State Premium Data'!$D$2:$D$53,MATCH(N178,'State Premium Data'!$A$2:$A$53,0)),"")</f>
        <v>19734</v>
      </c>
      <c r="P178" s="8" t="n">
        <f aca="false">IFERROR(INDEX('State Premium Data'!$C$2:$C$53,MATCH(N178,'State Premium Data'!$A$2:$A$53,0)),"")</f>
        <v>55663</v>
      </c>
      <c r="Q178" s="9" t="n">
        <f aca="false">IFERROR(K178/O178,"")</f>
        <v>1.03881625620756</v>
      </c>
      <c r="R178" s="8" t="n">
        <f aca="false">IFERROR(I178-P178,"")</f>
        <v>1750</v>
      </c>
      <c r="S178" s="10" t="n">
        <f aca="false">IFERROR(R178/P178,"")</f>
        <v>0.0314391965937876</v>
      </c>
    </row>
    <row r="179" customFormat="false" ht="15" hidden="false" customHeight="true" outlineLevel="0" collapsed="false">
      <c r="A179" s="3" t="s">
        <v>456</v>
      </c>
      <c r="B179" s="3" t="s">
        <v>50</v>
      </c>
      <c r="C179" s="3" t="s">
        <v>341</v>
      </c>
      <c r="D179" s="5" t="n">
        <v>75</v>
      </c>
      <c r="E179" s="6" t="n">
        <v>1317</v>
      </c>
      <c r="F179" s="7" t="n">
        <v>7267</v>
      </c>
      <c r="G179" s="8" t="n">
        <v>55760</v>
      </c>
      <c r="H179" s="8" t="n">
        <v>55760</v>
      </c>
      <c r="I179" s="8" t="n">
        <v>70783</v>
      </c>
      <c r="J179" s="5" t="n">
        <v>79.7</v>
      </c>
      <c r="K179" s="8" t="n">
        <v>25000</v>
      </c>
      <c r="L179" s="6" t="n">
        <v>1</v>
      </c>
      <c r="M179" s="3" t="s">
        <v>150</v>
      </c>
      <c r="N179" s="3" t="str">
        <f aca="false">INDEX('State Mapping'!$B$2:$B$53,MATCH(B179,'State Mapping'!$A$2:$A$53,0))</f>
        <v>Missouri</v>
      </c>
      <c r="O179" s="8" t="n">
        <f aca="false">IFERROR(INDEX('State Premium Data'!$D$2:$D$53,MATCH(N179,'State Premium Data'!$A$2:$A$53,0)),"")</f>
        <v>23998</v>
      </c>
      <c r="P179" s="8" t="n">
        <f aca="false">IFERROR(INDEX('State Premium Data'!$C$2:$C$53,MATCH(N179,'State Premium Data'!$A$2:$A$53,0)),"")</f>
        <v>61418</v>
      </c>
      <c r="Q179" s="9" t="n">
        <f aca="false">IFERROR(K179/O179,"")</f>
        <v>1.04175347945662</v>
      </c>
      <c r="R179" s="8" t="n">
        <f aca="false">IFERROR(I179-P179,"")</f>
        <v>9365</v>
      </c>
      <c r="S179" s="10" t="n">
        <f aca="false">IFERROR(R179/P179,"")</f>
        <v>0.152479729069654</v>
      </c>
    </row>
    <row r="180" customFormat="false" ht="15" hidden="false" customHeight="true" outlineLevel="0" collapsed="false">
      <c r="A180" s="3" t="s">
        <v>457</v>
      </c>
      <c r="B180" s="3" t="s">
        <v>10</v>
      </c>
      <c r="C180" s="3" t="s">
        <v>458</v>
      </c>
      <c r="D180" s="5" t="n">
        <v>75.2</v>
      </c>
      <c r="E180" s="6"/>
      <c r="F180" s="7" t="n">
        <v>25042</v>
      </c>
      <c r="G180" s="8" t="n">
        <v>7780</v>
      </c>
      <c r="H180" s="8" t="n">
        <v>20380</v>
      </c>
      <c r="I180" s="8" t="n">
        <v>71902</v>
      </c>
      <c r="J180" s="5" t="n">
        <v>67.6</v>
      </c>
      <c r="K180" s="8" t="n">
        <v>16000</v>
      </c>
      <c r="L180" s="6" t="n">
        <v>0</v>
      </c>
      <c r="M180" s="3" t="s">
        <v>134</v>
      </c>
      <c r="N180" s="3" t="str">
        <f aca="false">INDEX('State Mapping'!$B$2:$B$53,MATCH(B180,'State Mapping'!$A$2:$A$53,0))</f>
        <v>California</v>
      </c>
      <c r="O180" s="8" t="n">
        <f aca="false">IFERROR(INDEX('State Premium Data'!$D$2:$D$53,MATCH(N180,'State Premium Data'!$A$2:$A$53,0)),"")</f>
        <v>37475</v>
      </c>
      <c r="P180" s="8" t="n">
        <f aca="false">IFERROR(INDEX('State Premium Data'!$C$2:$C$53,MATCH(N180,'State Premium Data'!$A$2:$A$53,0)),"")</f>
        <v>78278</v>
      </c>
      <c r="Q180" s="9" t="n">
        <f aca="false">IFERROR(K180/O180,"")</f>
        <v>0.426951300867245</v>
      </c>
      <c r="R180" s="8" t="n">
        <f aca="false">IFERROR(I180-P180,"")</f>
        <v>-6376</v>
      </c>
      <c r="S180" s="10" t="n">
        <f aca="false">IFERROR(R180/P180,"")</f>
        <v>-0.0814532818927413</v>
      </c>
    </row>
    <row r="181" customFormat="false" ht="15" hidden="false" customHeight="true" outlineLevel="0" collapsed="false">
      <c r="A181" s="3" t="s">
        <v>459</v>
      </c>
      <c r="B181" s="3" t="s">
        <v>84</v>
      </c>
      <c r="C181" s="3" t="s">
        <v>460</v>
      </c>
      <c r="D181" s="5" t="n">
        <v>75.3</v>
      </c>
      <c r="E181" s="6" t="n">
        <v>1143</v>
      </c>
      <c r="F181" s="7" t="n">
        <v>10377</v>
      </c>
      <c r="G181" s="8" t="n">
        <v>11640</v>
      </c>
      <c r="H181" s="8" t="n">
        <v>29628</v>
      </c>
      <c r="I181" s="8" t="n">
        <v>47258</v>
      </c>
      <c r="J181" s="5" t="n">
        <v>49.7</v>
      </c>
      <c r="K181" s="8" t="n">
        <v>23750</v>
      </c>
      <c r="L181" s="6" t="n">
        <v>0</v>
      </c>
      <c r="M181" s="3" t="s">
        <v>134</v>
      </c>
      <c r="N181" s="3" t="str">
        <f aca="false">INDEX('State Mapping'!$B$2:$B$53,MATCH(B181,'State Mapping'!$A$2:$A$53,0))</f>
        <v>South Carolina</v>
      </c>
      <c r="O181" s="8" t="n">
        <f aca="false">IFERROR(INDEX('State Premium Data'!$D$2:$D$53,MATCH(N181,'State Premium Data'!$A$2:$A$53,0)),"")</f>
        <v>23850</v>
      </c>
      <c r="P181" s="8" t="n">
        <f aca="false">IFERROR(INDEX('State Premium Data'!$C$2:$C$53,MATCH(N181,'State Premium Data'!$A$2:$A$53,0)),"")</f>
        <v>60590</v>
      </c>
      <c r="Q181" s="9" t="n">
        <f aca="false">IFERROR(K181/O181,"")</f>
        <v>0.9958071278826</v>
      </c>
      <c r="R181" s="8" t="n">
        <f aca="false">IFERROR(I181-P181,"")</f>
        <v>-13332</v>
      </c>
      <c r="S181" s="10" t="n">
        <f aca="false">IFERROR(R181/P181,"")</f>
        <v>-0.22003630962205</v>
      </c>
    </row>
    <row r="182" customFormat="false" ht="15" hidden="false" customHeight="true" outlineLevel="0" collapsed="false">
      <c r="A182" s="3" t="s">
        <v>461</v>
      </c>
      <c r="B182" s="3" t="s">
        <v>56</v>
      </c>
      <c r="C182" s="3" t="s">
        <v>462</v>
      </c>
      <c r="D182" s="5" t="n">
        <v>75.3</v>
      </c>
      <c r="E182" s="6" t="n">
        <v>1288</v>
      </c>
      <c r="F182" s="7" t="n">
        <v>5129</v>
      </c>
      <c r="G182" s="8" t="n">
        <v>45312</v>
      </c>
      <c r="H182" s="8" t="n">
        <v>45312</v>
      </c>
      <c r="I182" s="8" t="n">
        <v>61389</v>
      </c>
      <c r="J182" s="5" t="n">
        <v>72.1</v>
      </c>
      <c r="K182" s="8" t="n">
        <v>24575</v>
      </c>
      <c r="L182" s="6" t="n">
        <v>0</v>
      </c>
      <c r="M182" s="3" t="s">
        <v>150</v>
      </c>
      <c r="N182" s="3" t="str">
        <f aca="false">INDEX('State Mapping'!$B$2:$B$53,MATCH(B182,'State Mapping'!$A$2:$A$53,0))</f>
        <v>North Carolina</v>
      </c>
      <c r="O182" s="8" t="n">
        <f aca="false">IFERROR(INDEX('State Premium Data'!$D$2:$D$53,MATCH(N182,'State Premium Data'!$A$2:$A$53,0)),"")</f>
        <v>25615</v>
      </c>
      <c r="P182" s="8" t="n">
        <f aca="false">IFERROR(INDEX('State Premium Data'!$C$2:$C$53,MATCH(N182,'State Premium Data'!$A$2:$A$53,0)),"")</f>
        <v>62338</v>
      </c>
      <c r="Q182" s="9" t="n">
        <f aca="false">IFERROR(K182/O182,"")</f>
        <v>0.959398789771618</v>
      </c>
      <c r="R182" s="8" t="n">
        <f aca="false">IFERROR(I182-P182,"")</f>
        <v>-949</v>
      </c>
      <c r="S182" s="10" t="n">
        <f aca="false">IFERROR(R182/P182,"")</f>
        <v>-0.0152234592062626</v>
      </c>
    </row>
    <row r="183" customFormat="false" ht="15" hidden="false" customHeight="true" outlineLevel="0" collapsed="false">
      <c r="A183" s="3" t="s">
        <v>463</v>
      </c>
      <c r="B183" s="3" t="s">
        <v>72</v>
      </c>
      <c r="C183" s="3" t="s">
        <v>464</v>
      </c>
      <c r="D183" s="5" t="n">
        <v>75.4</v>
      </c>
      <c r="E183" s="6" t="n">
        <v>1317</v>
      </c>
      <c r="F183" s="7" t="n">
        <v>16656</v>
      </c>
      <c r="G183" s="8" t="n">
        <v>18161</v>
      </c>
      <c r="H183" s="8" t="n">
        <v>41221</v>
      </c>
      <c r="I183" s="8" t="n">
        <v>55076</v>
      </c>
      <c r="J183" s="5" t="n">
        <v>80.8</v>
      </c>
      <c r="K183" s="8" t="n">
        <v>23000</v>
      </c>
      <c r="L183" s="6" t="n">
        <v>0</v>
      </c>
      <c r="M183" s="3" t="s">
        <v>150</v>
      </c>
      <c r="N183" s="3" t="str">
        <f aca="false">INDEX('State Mapping'!$B$2:$B$53,MATCH(B183,'State Mapping'!$A$2:$A$53,0))</f>
        <v>Ohio</v>
      </c>
      <c r="O183" s="8" t="n">
        <f aca="false">IFERROR(INDEX('State Premium Data'!$D$2:$D$53,MATCH(N183,'State Premium Data'!$A$2:$A$53,0)),"")</f>
        <v>26943</v>
      </c>
      <c r="P183" s="8" t="n">
        <f aca="false">IFERROR(INDEX('State Premium Data'!$C$2:$C$53,MATCH(N183,'State Premium Data'!$A$2:$A$53,0)),"")</f>
        <v>64933</v>
      </c>
      <c r="Q183" s="9" t="n">
        <f aca="false">IFERROR(K183/O183,"")</f>
        <v>0.853654010318079</v>
      </c>
      <c r="R183" s="8" t="n">
        <f aca="false">IFERROR(I183-P183,"")</f>
        <v>-9857</v>
      </c>
      <c r="S183" s="10" t="n">
        <f aca="false">IFERROR(R183/P183,"")</f>
        <v>-0.151802627323549</v>
      </c>
    </row>
    <row r="184" customFormat="false" ht="15" hidden="false" customHeight="true" outlineLevel="0" collapsed="false">
      <c r="A184" s="3" t="s">
        <v>465</v>
      </c>
      <c r="B184" s="3" t="s">
        <v>48</v>
      </c>
      <c r="C184" s="3" t="s">
        <v>466</v>
      </c>
      <c r="D184" s="5" t="n">
        <v>75.5</v>
      </c>
      <c r="E184" s="6"/>
      <c r="F184" s="7" t="n">
        <v>5144</v>
      </c>
      <c r="G184" s="8" t="n">
        <v>10576</v>
      </c>
      <c r="H184" s="8" t="n">
        <v>17308</v>
      </c>
      <c r="I184" s="8" t="n">
        <v>58532</v>
      </c>
      <c r="J184" s="5" t="n">
        <v>59</v>
      </c>
      <c r="K184" s="8" t="n">
        <v>21500</v>
      </c>
      <c r="L184" s="6" t="n">
        <v>0</v>
      </c>
      <c r="M184" s="3" t="s">
        <v>134</v>
      </c>
      <c r="N184" s="3" t="str">
        <f aca="false">INDEX('State Mapping'!$B$2:$B$53,MATCH(B184,'State Mapping'!$A$2:$A$53,0))</f>
        <v>Minnesota</v>
      </c>
      <c r="O184" s="8" t="n">
        <f aca="false">IFERROR(INDEX('State Premium Data'!$D$2:$D$53,MATCH(N184,'State Premium Data'!$A$2:$A$53,0)),"")</f>
        <v>28819</v>
      </c>
      <c r="P184" s="8" t="n">
        <f aca="false">IFERROR(INDEX('State Premium Data'!$C$2:$C$53,MATCH(N184,'State Premium Data'!$A$2:$A$53,0)),"")</f>
        <v>71254</v>
      </c>
      <c r="Q184" s="9" t="n">
        <f aca="false">IFERROR(K184/O184,"")</f>
        <v>0.746035601512891</v>
      </c>
      <c r="R184" s="8" t="n">
        <f aca="false">IFERROR(I184-P184,"")</f>
        <v>-12722</v>
      </c>
      <c r="S184" s="10" t="n">
        <f aca="false">IFERROR(R184/P184,"")</f>
        <v>-0.178544362421759</v>
      </c>
    </row>
    <row r="185" customFormat="false" ht="15" hidden="false" customHeight="true" outlineLevel="0" collapsed="false">
      <c r="A185" s="3" t="s">
        <v>467</v>
      </c>
      <c r="B185" s="3" t="s">
        <v>100</v>
      </c>
      <c r="C185" s="3" t="s">
        <v>468</v>
      </c>
      <c r="D185" s="5" t="n">
        <v>75.5</v>
      </c>
      <c r="E185" s="6" t="n">
        <v>1220</v>
      </c>
      <c r="F185" s="7" t="n">
        <v>9277</v>
      </c>
      <c r="G185" s="8" t="n">
        <v>10070</v>
      </c>
      <c r="H185" s="8" t="n">
        <v>19517</v>
      </c>
      <c r="I185" s="8" t="n">
        <v>60378</v>
      </c>
      <c r="J185" s="5" t="n">
        <v>71.1</v>
      </c>
      <c r="K185" s="8" t="n">
        <v>22500</v>
      </c>
      <c r="L185" s="6" t="n">
        <v>0</v>
      </c>
      <c r="M185" s="3" t="s">
        <v>150</v>
      </c>
      <c r="N185" s="3" t="str">
        <f aca="false">INDEX('State Mapping'!$B$2:$B$53,MATCH(B185,'State Mapping'!$A$2:$A$53,0))</f>
        <v>Wisconsin</v>
      </c>
      <c r="O185" s="8" t="n">
        <f aca="false">IFERROR(INDEX('State Premium Data'!$D$2:$D$53,MATCH(N185,'State Premium Data'!$A$2:$A$53,0)),"")</f>
        <v>22716</v>
      </c>
      <c r="P185" s="8" t="n">
        <f aca="false">IFERROR(INDEX('State Premium Data'!$C$2:$C$53,MATCH(N185,'State Premium Data'!$A$2:$A$53,0)),"")</f>
        <v>64320</v>
      </c>
      <c r="Q185" s="9" t="n">
        <f aca="false">IFERROR(K185/O185,"")</f>
        <v>0.990491283676704</v>
      </c>
      <c r="R185" s="8" t="n">
        <f aca="false">IFERROR(I185-P185,"")</f>
        <v>-3942</v>
      </c>
      <c r="S185" s="10" t="n">
        <f aca="false">IFERROR(R185/P185,"")</f>
        <v>-0.0612873134328358</v>
      </c>
    </row>
    <row r="186" customFormat="false" ht="15" hidden="false" customHeight="true" outlineLevel="0" collapsed="false">
      <c r="A186" s="3" t="s">
        <v>469</v>
      </c>
      <c r="B186" s="3" t="s">
        <v>28</v>
      </c>
      <c r="C186" s="3" t="s">
        <v>470</v>
      </c>
      <c r="D186" s="5" t="n">
        <v>75.5</v>
      </c>
      <c r="E186" s="6" t="n">
        <v>1116</v>
      </c>
      <c r="F186" s="7" t="n">
        <v>7747</v>
      </c>
      <c r="G186" s="8" t="n">
        <v>9084</v>
      </c>
      <c r="H186" s="8" t="n">
        <v>28320</v>
      </c>
      <c r="I186" s="8" t="n">
        <v>54670</v>
      </c>
      <c r="J186" s="5" t="n">
        <v>59.2</v>
      </c>
      <c r="K186" s="8" t="n">
        <v>21982</v>
      </c>
      <c r="L186" s="6" t="n">
        <v>0</v>
      </c>
      <c r="M186" s="3" t="s">
        <v>150</v>
      </c>
      <c r="N186" s="3" t="str">
        <f aca="false">INDEX('State Mapping'!$B$2:$B$53,MATCH(B186,'State Mapping'!$A$2:$A$53,0))</f>
        <v>Idaho</v>
      </c>
      <c r="O186" s="8" t="n">
        <f aca="false">IFERROR(INDEX('State Premium Data'!$D$2:$D$53,MATCH(N186,'State Premium Data'!$A$2:$A$53,0)),"")</f>
        <v>18812</v>
      </c>
      <c r="P186" s="8" t="n">
        <f aca="false">IFERROR(INDEX('State Premium Data'!$C$2:$C$53,MATCH(N186,'State Premium Data'!$A$2:$A$53,0)),"")</f>
        <v>57342</v>
      </c>
      <c r="Q186" s="9" t="n">
        <f aca="false">IFERROR(K186/O186,"")</f>
        <v>1.1685094620455</v>
      </c>
      <c r="R186" s="8" t="n">
        <f aca="false">IFERROR(I186-P186,"")</f>
        <v>-2672</v>
      </c>
      <c r="S186" s="10" t="n">
        <f aca="false">IFERROR(R186/P186,"")</f>
        <v>-0.0465976073384256</v>
      </c>
    </row>
    <row r="187" customFormat="false" ht="15" hidden="false" customHeight="true" outlineLevel="0" collapsed="false">
      <c r="A187" s="3" t="s">
        <v>471</v>
      </c>
      <c r="B187" s="3" t="s">
        <v>30</v>
      </c>
      <c r="C187" s="3" t="s">
        <v>141</v>
      </c>
      <c r="D187" s="5" t="n">
        <v>75.9</v>
      </c>
      <c r="E187" s="6" t="n">
        <v>1262</v>
      </c>
      <c r="F187" s="7" t="n">
        <v>14090</v>
      </c>
      <c r="G187" s="8" t="n">
        <v>45999</v>
      </c>
      <c r="H187" s="8" t="n">
        <v>45999</v>
      </c>
      <c r="I187" s="8" t="n">
        <v>68751</v>
      </c>
      <c r="J187" s="5" t="n">
        <v>68.9</v>
      </c>
      <c r="K187" s="8" t="n">
        <v>23168</v>
      </c>
      <c r="L187" s="6" t="n">
        <v>0</v>
      </c>
      <c r="M187" s="3" t="s">
        <v>134</v>
      </c>
      <c r="N187" s="3" t="str">
        <f aca="false">INDEX('State Mapping'!$B$2:$B$53,MATCH(B187,'State Mapping'!$A$2:$A$53,0))</f>
        <v>Illinois</v>
      </c>
      <c r="O187" s="8" t="n">
        <f aca="false">IFERROR(INDEX('State Premium Data'!$D$2:$D$53,MATCH(N187,'State Premium Data'!$A$2:$A$53,0)),"")</f>
        <v>30842</v>
      </c>
      <c r="P187" s="8" t="n">
        <f aca="false">IFERROR(INDEX('State Premium Data'!$C$2:$C$53,MATCH(N187,'State Premium Data'!$A$2:$A$53,0)),"")</f>
        <v>71127</v>
      </c>
      <c r="Q187" s="9" t="n">
        <f aca="false">IFERROR(K187/O187,"")</f>
        <v>0.751183451138059</v>
      </c>
      <c r="R187" s="8" t="n">
        <f aca="false">IFERROR(I187-P187,"")</f>
        <v>-2376</v>
      </c>
      <c r="S187" s="10" t="n">
        <f aca="false">IFERROR(R187/P187,"")</f>
        <v>-0.0334050360622548</v>
      </c>
    </row>
    <row r="188" customFormat="false" ht="15" hidden="false" customHeight="true" outlineLevel="0" collapsed="false">
      <c r="A188" s="3" t="s">
        <v>472</v>
      </c>
      <c r="B188" s="3" t="s">
        <v>64</v>
      </c>
      <c r="C188" s="3" t="s">
        <v>473</v>
      </c>
      <c r="D188" s="5" t="n">
        <v>75.9</v>
      </c>
      <c r="E188" s="6" t="n">
        <v>1040</v>
      </c>
      <c r="F188" s="7" t="n">
        <v>11433</v>
      </c>
      <c r="G188" s="8" t="n">
        <v>14299</v>
      </c>
      <c r="H188" s="8" t="n">
        <v>22446</v>
      </c>
      <c r="I188" s="8" t="n">
        <v>57237</v>
      </c>
      <c r="J188" s="5" t="n">
        <v>45</v>
      </c>
      <c r="K188" s="8" t="n">
        <v>23250</v>
      </c>
      <c r="L188" s="6" t="n">
        <v>0</v>
      </c>
      <c r="M188" s="3" t="s">
        <v>134</v>
      </c>
      <c r="N188" s="3" t="str">
        <f aca="false">INDEX('State Mapping'!$B$2:$B$53,MATCH(B188,'State Mapping'!$A$2:$A$53,0))</f>
        <v>New Jersey</v>
      </c>
      <c r="O188" s="8" t="n">
        <f aca="false">IFERROR(INDEX('State Premium Data'!$D$2:$D$53,MATCH(N188,'State Premium Data'!$A$2:$A$53,0)),"")</f>
        <v>38586</v>
      </c>
      <c r="P188" s="8" t="n">
        <f aca="false">IFERROR(INDEX('State Premium Data'!$C$2:$C$53,MATCH(N188,'State Premium Data'!$A$2:$A$53,0)),"")</f>
        <v>80114</v>
      </c>
      <c r="Q188" s="9" t="n">
        <f aca="false">IFERROR(K188/O188,"")</f>
        <v>0.602550147721972</v>
      </c>
      <c r="R188" s="8" t="n">
        <f aca="false">IFERROR(I188-P188,"")</f>
        <v>-22877</v>
      </c>
      <c r="S188" s="10" t="n">
        <f aca="false">IFERROR(R188/P188,"")</f>
        <v>-0.285555583293806</v>
      </c>
    </row>
    <row r="189" customFormat="false" ht="15" hidden="false" customHeight="true" outlineLevel="0" collapsed="false">
      <c r="A189" s="3" t="s">
        <v>474</v>
      </c>
      <c r="B189" s="3" t="s">
        <v>70</v>
      </c>
      <c r="C189" s="3" t="s">
        <v>71</v>
      </c>
      <c r="D189" s="5" t="n">
        <v>75.9</v>
      </c>
      <c r="E189" s="6" t="n">
        <v>1266</v>
      </c>
      <c r="F189" s="7" t="n">
        <v>7665</v>
      </c>
      <c r="G189" s="8" t="n">
        <v>53290</v>
      </c>
      <c r="H189" s="8" t="n">
        <v>53290</v>
      </c>
      <c r="I189" s="8" t="n">
        <v>70378</v>
      </c>
      <c r="J189" s="5" t="n">
        <v>60.7</v>
      </c>
      <c r="K189" s="8" t="n">
        <v>23250</v>
      </c>
      <c r="L189" s="6" t="n">
        <v>0</v>
      </c>
      <c r="M189" s="3" t="s">
        <v>134</v>
      </c>
      <c r="N189" s="3" t="str">
        <f aca="false">INDEX('State Mapping'!$B$2:$B$53,MATCH(B189,'State Mapping'!$A$2:$A$53,0))</f>
        <v>New York</v>
      </c>
      <c r="O189" s="8" t="n">
        <f aca="false">IFERROR(INDEX('State Premium Data'!$D$2:$D$53,MATCH(N189,'State Premium Data'!$A$2:$A$53,0)),"")</f>
        <v>34733</v>
      </c>
      <c r="P189" s="8" t="n">
        <f aca="false">IFERROR(INDEX('State Premium Data'!$C$2:$C$53,MATCH(N189,'State Premium Data'!$A$2:$A$53,0)),"")</f>
        <v>74504</v>
      </c>
      <c r="Q189" s="9" t="n">
        <f aca="false">IFERROR(K189/O189,"")</f>
        <v>0.669392220654709</v>
      </c>
      <c r="R189" s="8" t="n">
        <f aca="false">IFERROR(I189-P189,"")</f>
        <v>-4126</v>
      </c>
      <c r="S189" s="10" t="n">
        <f aca="false">IFERROR(R189/P189,"")</f>
        <v>-0.0553795769354666</v>
      </c>
    </row>
    <row r="190" customFormat="false" ht="15" hidden="false" customHeight="true" outlineLevel="0" collapsed="false">
      <c r="A190" s="3" t="s">
        <v>475</v>
      </c>
      <c r="B190" s="3" t="s">
        <v>88</v>
      </c>
      <c r="C190" s="3" t="s">
        <v>476</v>
      </c>
      <c r="D190" s="5" t="n">
        <v>76.1</v>
      </c>
      <c r="E190" s="6" t="n">
        <v>1151</v>
      </c>
      <c r="F190" s="7" t="n">
        <v>8698</v>
      </c>
      <c r="G190" s="8" t="n">
        <v>11376</v>
      </c>
      <c r="H190" s="8" t="n">
        <v>15576</v>
      </c>
      <c r="I190" s="8" t="n">
        <v>48501</v>
      </c>
      <c r="J190" s="5" t="n">
        <v>56</v>
      </c>
      <c r="K190" s="8" t="n">
        <v>15650</v>
      </c>
      <c r="L190" s="6" t="n">
        <v>0</v>
      </c>
      <c r="M190" s="3" t="s">
        <v>134</v>
      </c>
      <c r="N190" s="3" t="str">
        <f aca="false">INDEX('State Mapping'!$B$2:$B$53,MATCH(B190,'State Mapping'!$A$2:$A$53,0))</f>
        <v>Tennessee</v>
      </c>
      <c r="O190" s="8" t="n">
        <f aca="false">IFERROR(INDEX('State Premium Data'!$D$2:$D$53,MATCH(N190,'State Premium Data'!$A$2:$A$53,0)),"")</f>
        <v>23496</v>
      </c>
      <c r="P190" s="8" t="n">
        <f aca="false">IFERROR(INDEX('State Premium Data'!$C$2:$C$53,MATCH(N190,'State Premium Data'!$A$2:$A$53,0)),"")</f>
        <v>61189</v>
      </c>
      <c r="Q190" s="9" t="n">
        <f aca="false">IFERROR(K190/O190,"")</f>
        <v>0.666070820565203</v>
      </c>
      <c r="R190" s="8" t="n">
        <f aca="false">IFERROR(I190-P190,"")</f>
        <v>-12688</v>
      </c>
      <c r="S190" s="10" t="n">
        <f aca="false">IFERROR(R190/P190,"")</f>
        <v>-0.207357531582474</v>
      </c>
    </row>
    <row r="191" customFormat="false" ht="15" hidden="false" customHeight="true" outlineLevel="0" collapsed="false">
      <c r="A191" s="3" t="s">
        <v>477</v>
      </c>
      <c r="B191" s="3" t="s">
        <v>32</v>
      </c>
      <c r="C191" s="3" t="s">
        <v>478</v>
      </c>
      <c r="D191" s="5" t="n">
        <v>76.4</v>
      </c>
      <c r="E191" s="6" t="n">
        <v>1139</v>
      </c>
      <c r="F191" s="7" t="n">
        <v>13830</v>
      </c>
      <c r="G191" s="8" t="n">
        <v>10762</v>
      </c>
      <c r="H191" s="8" t="n">
        <v>34891</v>
      </c>
      <c r="I191" s="8" t="n">
        <v>55198</v>
      </c>
      <c r="J191" s="5" t="n">
        <v>54.1</v>
      </c>
      <c r="K191" s="8" t="n">
        <v>20000</v>
      </c>
      <c r="L191" s="6" t="n">
        <v>0</v>
      </c>
      <c r="M191" s="3" t="s">
        <v>134</v>
      </c>
      <c r="N191" s="3" t="str">
        <f aca="false">INDEX('State Mapping'!$B$2:$B$53,MATCH(B191,'State Mapping'!$A$2:$A$53,0))</f>
        <v>Indiana</v>
      </c>
      <c r="O191" s="8" t="n">
        <f aca="false">IFERROR(INDEX('State Premium Data'!$D$2:$D$53,MATCH(N191,'State Premium Data'!$A$2:$A$53,0)),"")</f>
        <v>21077</v>
      </c>
      <c r="P191" s="8" t="n">
        <f aca="false">IFERROR(INDEX('State Premium Data'!$C$2:$C$53,MATCH(N191,'State Premium Data'!$A$2:$A$53,0)),"")</f>
        <v>60573</v>
      </c>
      <c r="Q191" s="9" t="n">
        <f aca="false">IFERROR(K191/O191,"")</f>
        <v>0.948901646344356</v>
      </c>
      <c r="R191" s="8" t="n">
        <f aca="false">IFERROR(I191-P191,"")</f>
        <v>-5375</v>
      </c>
      <c r="S191" s="10" t="n">
        <f aca="false">IFERROR(R191/P191,"")</f>
        <v>-0.0887359054364156</v>
      </c>
    </row>
    <row r="192" customFormat="false" ht="15" hidden="false" customHeight="true" outlineLevel="0" collapsed="false">
      <c r="A192" s="3" t="s">
        <v>479</v>
      </c>
      <c r="B192" s="3" t="s">
        <v>10</v>
      </c>
      <c r="C192" s="3" t="s">
        <v>480</v>
      </c>
      <c r="D192" s="5" t="n">
        <v>76.4</v>
      </c>
      <c r="E192" s="6"/>
      <c r="F192" s="7" t="n">
        <v>22593</v>
      </c>
      <c r="G192" s="8" t="n">
        <v>15606</v>
      </c>
      <c r="H192" s="8" t="n">
        <v>49806</v>
      </c>
      <c r="I192" s="8" t="n">
        <v>67699</v>
      </c>
      <c r="J192" s="5" t="n">
        <v>76.3</v>
      </c>
      <c r="K192" s="8" t="n">
        <v>17500</v>
      </c>
      <c r="L192" s="6" t="n">
        <v>43</v>
      </c>
      <c r="M192" s="3" t="s">
        <v>150</v>
      </c>
      <c r="N192" s="3" t="str">
        <f aca="false">INDEX('State Mapping'!$B$2:$B$53,MATCH(B192,'State Mapping'!$A$2:$A$53,0))</f>
        <v>California</v>
      </c>
      <c r="O192" s="8" t="n">
        <f aca="false">IFERROR(INDEX('State Premium Data'!$D$2:$D$53,MATCH(N192,'State Premium Data'!$A$2:$A$53,0)),"")</f>
        <v>37475</v>
      </c>
      <c r="P192" s="8" t="n">
        <f aca="false">IFERROR(INDEX('State Premium Data'!$C$2:$C$53,MATCH(N192,'State Premium Data'!$A$2:$A$53,0)),"")</f>
        <v>78278</v>
      </c>
      <c r="Q192" s="9" t="n">
        <f aca="false">IFERROR(K192/O192,"")</f>
        <v>0.466977985323549</v>
      </c>
      <c r="R192" s="8" t="n">
        <f aca="false">IFERROR(I192-P192,"")</f>
        <v>-10579</v>
      </c>
      <c r="S192" s="10" t="n">
        <f aca="false">IFERROR(R192/P192,"")</f>
        <v>-0.135146529037533</v>
      </c>
    </row>
    <row r="193" customFormat="false" ht="15" hidden="false" customHeight="true" outlineLevel="0" collapsed="false">
      <c r="A193" s="3" t="s">
        <v>481</v>
      </c>
      <c r="B193" s="3" t="s">
        <v>74</v>
      </c>
      <c r="C193" s="3" t="s">
        <v>482</v>
      </c>
      <c r="D193" s="5" t="n">
        <v>76.6</v>
      </c>
      <c r="E193" s="6" t="n">
        <v>1246</v>
      </c>
      <c r="F193" s="7" t="n">
        <v>22734</v>
      </c>
      <c r="G193" s="8" t="n">
        <v>9797</v>
      </c>
      <c r="H193" s="8" t="n">
        <v>27377</v>
      </c>
      <c r="I193" s="8" t="n">
        <v>63126</v>
      </c>
      <c r="J193" s="5" t="n">
        <v>75.3</v>
      </c>
      <c r="K193" s="8" t="n">
        <v>20654</v>
      </c>
      <c r="L193" s="6" t="n">
        <v>0</v>
      </c>
      <c r="M193" s="3" t="s">
        <v>134</v>
      </c>
      <c r="N193" s="3" t="str">
        <f aca="false">INDEX('State Mapping'!$B$2:$B$53,MATCH(B193,'State Mapping'!$A$2:$A$53,0))</f>
        <v>Oklahoma</v>
      </c>
      <c r="O193" s="8" t="n">
        <f aca="false">IFERROR(INDEX('State Premium Data'!$D$2:$D$53,MATCH(N193,'State Premium Data'!$A$2:$A$53,0)),"")</f>
        <v>19734</v>
      </c>
      <c r="P193" s="8" t="n">
        <f aca="false">IFERROR(INDEX('State Premium Data'!$C$2:$C$53,MATCH(N193,'State Premium Data'!$A$2:$A$53,0)),"")</f>
        <v>55663</v>
      </c>
      <c r="Q193" s="9" t="n">
        <f aca="false">IFERROR(K193/O193,"")</f>
        <v>1.04662004662005</v>
      </c>
      <c r="R193" s="8" t="n">
        <f aca="false">IFERROR(I193-P193,"")</f>
        <v>7463</v>
      </c>
      <c r="S193" s="10" t="n">
        <f aca="false">IFERROR(R193/P193,"")</f>
        <v>0.134074699531107</v>
      </c>
    </row>
    <row r="194" customFormat="false" ht="15" hidden="false" customHeight="true" outlineLevel="0" collapsed="false">
      <c r="A194" s="3" t="s">
        <v>483</v>
      </c>
      <c r="B194" s="3" t="s">
        <v>4</v>
      </c>
      <c r="C194" s="3" t="s">
        <v>484</v>
      </c>
      <c r="D194" s="5" t="n">
        <v>76.6</v>
      </c>
      <c r="E194" s="6" t="n">
        <v>1285</v>
      </c>
      <c r="F194" s="7" t="n">
        <v>33227</v>
      </c>
      <c r="G194" s="8" t="n">
        <v>12180</v>
      </c>
      <c r="H194" s="8" t="n">
        <v>34172</v>
      </c>
      <c r="I194" s="8" t="n">
        <v>59221</v>
      </c>
      <c r="J194" s="5" t="n">
        <v>73.5</v>
      </c>
      <c r="K194" s="8" t="n">
        <v>22750</v>
      </c>
      <c r="L194" s="6" t="n">
        <v>0</v>
      </c>
      <c r="M194" s="3" t="s">
        <v>150</v>
      </c>
      <c r="N194" s="3" t="str">
        <f aca="false">INDEX('State Mapping'!$B$2:$B$53,MATCH(B194,'State Mapping'!$A$2:$A$53,0))</f>
        <v>Alabama</v>
      </c>
      <c r="O194" s="8" t="n">
        <f aca="false">IFERROR(INDEX('State Premium Data'!$D$2:$D$53,MATCH(N194,'State Premium Data'!$A$2:$A$53,0)),"")</f>
        <v>23541</v>
      </c>
      <c r="P194" s="8" t="n">
        <f aca="false">IFERROR(INDEX('State Premium Data'!$C$2:$C$53,MATCH(N194,'State Premium Data'!$A$2:$A$53,0)),"")</f>
        <v>60156</v>
      </c>
      <c r="Q194" s="9" t="n">
        <f aca="false">IFERROR(K194/O194,"")</f>
        <v>0.966399048468629</v>
      </c>
      <c r="R194" s="8" t="n">
        <f aca="false">IFERROR(I194-P194,"")</f>
        <v>-935</v>
      </c>
      <c r="S194" s="10" t="n">
        <f aca="false">IFERROR(R194/P194,"")</f>
        <v>-0.0155429217368176</v>
      </c>
    </row>
    <row r="195" customFormat="false" ht="15" hidden="false" customHeight="true" outlineLevel="0" collapsed="false">
      <c r="A195" s="3" t="s">
        <v>485</v>
      </c>
      <c r="B195" s="3" t="s">
        <v>58</v>
      </c>
      <c r="C195" s="3" t="s">
        <v>486</v>
      </c>
      <c r="D195" s="5" t="n">
        <v>76.9</v>
      </c>
      <c r="E195" s="6"/>
      <c r="F195" s="7" t="n">
        <v>9981</v>
      </c>
      <c r="G195" s="8" t="n">
        <v>10951</v>
      </c>
      <c r="H195" s="8" t="n">
        <v>15570</v>
      </c>
      <c r="I195" s="8" t="n">
        <v>63552</v>
      </c>
      <c r="J195" s="5" t="n">
        <v>62</v>
      </c>
      <c r="K195" s="8" t="n">
        <v>22057</v>
      </c>
      <c r="L195" s="6" t="n">
        <v>0</v>
      </c>
      <c r="M195" s="3" t="s">
        <v>134</v>
      </c>
      <c r="N195" s="3" t="str">
        <f aca="false">INDEX('State Mapping'!$B$2:$B$53,MATCH(B195,'State Mapping'!$A$2:$A$53,0))</f>
        <v>North Dakota</v>
      </c>
      <c r="O195" s="8" t="n">
        <f aca="false">IFERROR(INDEX('State Premium Data'!$D$2:$D$53,MATCH(N195,'State Premium Data'!$A$2:$A$53,0)),"")</f>
        <v>19499</v>
      </c>
      <c r="P195" s="8" t="n">
        <f aca="false">IFERROR(INDEX('State Premium Data'!$C$2:$C$53,MATCH(N195,'State Premium Data'!$A$2:$A$53,0)),"")</f>
        <v>61164</v>
      </c>
      <c r="Q195" s="9" t="n">
        <f aca="false">IFERROR(K195/O195,"")</f>
        <v>1.13118621467768</v>
      </c>
      <c r="R195" s="8" t="n">
        <f aca="false">IFERROR(I195-P195,"")</f>
        <v>2388</v>
      </c>
      <c r="S195" s="10" t="n">
        <f aca="false">IFERROR(R195/P195,"")</f>
        <v>0.0390425740631744</v>
      </c>
    </row>
    <row r="196" customFormat="false" ht="15" hidden="false" customHeight="true" outlineLevel="0" collapsed="false">
      <c r="A196" s="3" t="s">
        <v>487</v>
      </c>
      <c r="B196" s="3" t="s">
        <v>76</v>
      </c>
      <c r="C196" s="3" t="s">
        <v>488</v>
      </c>
      <c r="D196" s="5" t="n">
        <v>77.3</v>
      </c>
      <c r="E196" s="6" t="n">
        <v>1290</v>
      </c>
      <c r="F196" s="7" t="n">
        <v>30743</v>
      </c>
      <c r="G196" s="8" t="n">
        <v>14400</v>
      </c>
      <c r="H196" s="8" t="n">
        <v>38190</v>
      </c>
      <c r="I196" s="8" t="n">
        <v>64010</v>
      </c>
      <c r="J196" s="5" t="n">
        <v>70.4</v>
      </c>
      <c r="K196" s="8" t="n">
        <v>21221</v>
      </c>
      <c r="L196" s="6" t="n">
        <v>0</v>
      </c>
      <c r="M196" s="3" t="s">
        <v>134</v>
      </c>
      <c r="N196" s="3" t="str">
        <f aca="false">INDEX('State Mapping'!$B$2:$B$53,MATCH(B196,'State Mapping'!$A$2:$A$53,0))</f>
        <v>Oregon</v>
      </c>
      <c r="O196" s="8" t="n">
        <f aca="false">IFERROR(INDEX('State Premium Data'!$D$2:$D$53,MATCH(N196,'State Premium Data'!$A$2:$A$53,0)),"")</f>
        <v>27792</v>
      </c>
      <c r="P196" s="8" t="n">
        <f aca="false">IFERROR(INDEX('State Premium Data'!$C$2:$C$53,MATCH(N196,'State Premium Data'!$A$2:$A$53,0)),"")</f>
        <v>67100</v>
      </c>
      <c r="Q196" s="9" t="n">
        <f aca="false">IFERROR(K196/O196,"")</f>
        <v>0.763565054691998</v>
      </c>
      <c r="R196" s="8" t="n">
        <f aca="false">IFERROR(I196-P196,"")</f>
        <v>-3090</v>
      </c>
      <c r="S196" s="10" t="n">
        <f aca="false">IFERROR(R196/P196,"")</f>
        <v>-0.0460506706408346</v>
      </c>
    </row>
    <row r="197" customFormat="false" ht="15" hidden="false" customHeight="true" outlineLevel="0" collapsed="false">
      <c r="A197" s="3" t="s">
        <v>489</v>
      </c>
      <c r="B197" s="3" t="s">
        <v>30</v>
      </c>
      <c r="C197" s="3" t="s">
        <v>141</v>
      </c>
      <c r="D197" s="5" t="n">
        <v>77.3</v>
      </c>
      <c r="E197" s="6" t="n">
        <v>1250</v>
      </c>
      <c r="F197" s="7" t="n">
        <v>22170</v>
      </c>
      <c r="G197" s="8" t="n">
        <v>14338</v>
      </c>
      <c r="H197" s="8" t="n">
        <v>29884</v>
      </c>
      <c r="I197" s="8" t="n">
        <v>68740</v>
      </c>
      <c r="J197" s="5" t="n">
        <v>61</v>
      </c>
      <c r="K197" s="8" t="n">
        <v>16704</v>
      </c>
      <c r="L197" s="6" t="n">
        <v>0</v>
      </c>
      <c r="M197" s="3" t="s">
        <v>134</v>
      </c>
      <c r="N197" s="3" t="str">
        <f aca="false">INDEX('State Mapping'!$B$2:$B$53,MATCH(B197,'State Mapping'!$A$2:$A$53,0))</f>
        <v>Illinois</v>
      </c>
      <c r="O197" s="8" t="n">
        <f aca="false">IFERROR(INDEX('State Premium Data'!$D$2:$D$53,MATCH(N197,'State Premium Data'!$A$2:$A$53,0)),"")</f>
        <v>30842</v>
      </c>
      <c r="P197" s="8" t="n">
        <f aca="false">IFERROR(INDEX('State Premium Data'!$C$2:$C$53,MATCH(N197,'State Premium Data'!$A$2:$A$53,0)),"")</f>
        <v>71127</v>
      </c>
      <c r="Q197" s="9" t="n">
        <f aca="false">IFERROR(K197/O197,"")</f>
        <v>0.541599118085727</v>
      </c>
      <c r="R197" s="8" t="n">
        <f aca="false">IFERROR(I197-P197,"")</f>
        <v>-2387</v>
      </c>
      <c r="S197" s="10" t="n">
        <f aca="false">IFERROR(R197/P197,"")</f>
        <v>-0.0335596890069875</v>
      </c>
    </row>
    <row r="198" customFormat="false" ht="15" hidden="false" customHeight="true" outlineLevel="0" collapsed="false">
      <c r="A198" s="3" t="s">
        <v>490</v>
      </c>
      <c r="B198" s="3" t="s">
        <v>36</v>
      </c>
      <c r="C198" s="3" t="s">
        <v>491</v>
      </c>
      <c r="D198" s="5" t="n">
        <v>77.6</v>
      </c>
      <c r="E198" s="6" t="n">
        <v>1149</v>
      </c>
      <c r="F198" s="7" t="n">
        <v>12318</v>
      </c>
      <c r="G198" s="8" t="n">
        <v>10320</v>
      </c>
      <c r="H198" s="8" t="n">
        <v>21230</v>
      </c>
      <c r="I198" s="8" t="n">
        <v>45795</v>
      </c>
      <c r="J198" s="5" t="n">
        <v>49.9</v>
      </c>
      <c r="K198" s="8" t="n">
        <v>22500</v>
      </c>
      <c r="L198" s="6" t="n">
        <v>0</v>
      </c>
      <c r="M198" s="3" t="s">
        <v>134</v>
      </c>
      <c r="N198" s="3" t="str">
        <f aca="false">INDEX('State Mapping'!$B$2:$B$53,MATCH(B198,'State Mapping'!$A$2:$A$53,0))</f>
        <v>Kentucky</v>
      </c>
      <c r="O198" s="8" t="n">
        <f aca="false">IFERROR(INDEX('State Premium Data'!$D$2:$D$53,MATCH(N198,'State Premium Data'!$A$2:$A$53,0)),"")</f>
        <v>23549</v>
      </c>
      <c r="P198" s="8" t="n">
        <f aca="false">IFERROR(INDEX('State Premium Data'!$C$2:$C$53,MATCH(N198,'State Premium Data'!$A$2:$A$53,0)),"")</f>
        <v>60185</v>
      </c>
      <c r="Q198" s="9" t="n">
        <f aca="false">IFERROR(K198/O198,"")</f>
        <v>0.955454584058771</v>
      </c>
      <c r="R198" s="8" t="n">
        <f aca="false">IFERROR(I198-P198,"")</f>
        <v>-14390</v>
      </c>
      <c r="S198" s="10" t="n">
        <f aca="false">IFERROR(R198/P198,"")</f>
        <v>-0.239096120295755</v>
      </c>
    </row>
    <row r="199" customFormat="false" ht="15" hidden="false" customHeight="true" outlineLevel="0" collapsed="false">
      <c r="A199" s="3" t="s">
        <v>492</v>
      </c>
      <c r="B199" s="3" t="s">
        <v>52</v>
      </c>
      <c r="C199" s="3" t="s">
        <v>493</v>
      </c>
      <c r="D199" s="5" t="n">
        <v>77.6</v>
      </c>
      <c r="E199" s="6" t="n">
        <v>1219</v>
      </c>
      <c r="F199" s="7" t="n">
        <v>18397</v>
      </c>
      <c r="G199" s="8" t="n">
        <v>10202</v>
      </c>
      <c r="H199" s="8" t="n">
        <v>27637</v>
      </c>
      <c r="I199" s="8" t="n">
        <v>51513</v>
      </c>
      <c r="J199" s="5" t="n">
        <v>64.8</v>
      </c>
      <c r="K199" s="8" t="n">
        <v>22142</v>
      </c>
      <c r="L199" s="6" t="n">
        <v>0</v>
      </c>
      <c r="M199" s="3" t="s">
        <v>134</v>
      </c>
      <c r="N199" s="3" t="str">
        <f aca="false">INDEX('State Mapping'!$B$2:$B$53,MATCH(B199,'State Mapping'!$A$2:$A$53,0))</f>
        <v>Mississippi</v>
      </c>
      <c r="O199" s="8" t="n">
        <f aca="false">IFERROR(INDEX('State Premium Data'!$D$2:$D$53,MATCH(N199,'State Premium Data'!$A$2:$A$53,0)),"")</f>
        <v>20141</v>
      </c>
      <c r="P199" s="8" t="n">
        <f aca="false">IFERROR(INDEX('State Premium Data'!$C$2:$C$53,MATCH(N199,'State Premium Data'!$A$2:$A$53,0)),"")</f>
        <v>52266</v>
      </c>
      <c r="Q199" s="9" t="n">
        <f aca="false">IFERROR(K199/O199,"")</f>
        <v>1.09934958542277</v>
      </c>
      <c r="R199" s="8" t="n">
        <f aca="false">IFERROR(I199-P199,"")</f>
        <v>-753</v>
      </c>
      <c r="S199" s="10" t="n">
        <f aca="false">IFERROR(R199/P199,"")</f>
        <v>-0.0144070715187694</v>
      </c>
    </row>
    <row r="200" customFormat="false" ht="15" hidden="false" customHeight="true" outlineLevel="0" collapsed="false">
      <c r="A200" s="3" t="s">
        <v>494</v>
      </c>
      <c r="B200" s="3" t="s">
        <v>64</v>
      </c>
      <c r="C200" s="3" t="s">
        <v>495</v>
      </c>
      <c r="D200" s="5" t="n">
        <v>77.7</v>
      </c>
      <c r="E200" s="6" t="n">
        <v>1212</v>
      </c>
      <c r="F200" s="7" t="n">
        <v>15841</v>
      </c>
      <c r="G200" s="8" t="n">
        <v>16574</v>
      </c>
      <c r="H200" s="8" t="n">
        <v>26932</v>
      </c>
      <c r="I200" s="8" t="n">
        <v>59988</v>
      </c>
      <c r="J200" s="5" t="n">
        <v>67.8</v>
      </c>
      <c r="K200" s="8" t="n">
        <v>20500</v>
      </c>
      <c r="L200" s="6" t="n">
        <v>0</v>
      </c>
      <c r="M200" s="3" t="s">
        <v>134</v>
      </c>
      <c r="N200" s="3" t="str">
        <f aca="false">INDEX('State Mapping'!$B$2:$B$53,MATCH(B200,'State Mapping'!$A$2:$A$53,0))</f>
        <v>New Jersey</v>
      </c>
      <c r="O200" s="8" t="n">
        <f aca="false">IFERROR(INDEX('State Premium Data'!$D$2:$D$53,MATCH(N200,'State Premium Data'!$A$2:$A$53,0)),"")</f>
        <v>38586</v>
      </c>
      <c r="P200" s="8" t="n">
        <f aca="false">IFERROR(INDEX('State Premium Data'!$C$2:$C$53,MATCH(N200,'State Premium Data'!$A$2:$A$53,0)),"")</f>
        <v>80114</v>
      </c>
      <c r="Q200" s="9" t="n">
        <f aca="false">IFERROR(K200/O200,"")</f>
        <v>0.531280775410771</v>
      </c>
      <c r="R200" s="8" t="n">
        <f aca="false">IFERROR(I200-P200,"")</f>
        <v>-20126</v>
      </c>
      <c r="S200" s="10" t="n">
        <f aca="false">IFERROR(R200/P200,"")</f>
        <v>-0.251217015752553</v>
      </c>
    </row>
    <row r="201" customFormat="false" ht="15" hidden="false" customHeight="true" outlineLevel="0" collapsed="false">
      <c r="A201" s="3" t="s">
        <v>496</v>
      </c>
      <c r="B201" s="3" t="s">
        <v>4</v>
      </c>
      <c r="C201" s="3" t="s">
        <v>281</v>
      </c>
      <c r="D201" s="5" t="n">
        <v>77.7</v>
      </c>
      <c r="E201" s="6" t="n">
        <v>1059</v>
      </c>
      <c r="F201" s="7" t="n">
        <v>7036</v>
      </c>
      <c r="G201" s="8" t="n">
        <v>12894</v>
      </c>
      <c r="H201" s="8" t="n">
        <v>23334</v>
      </c>
      <c r="I201" s="8" t="n">
        <v>45235</v>
      </c>
      <c r="J201" s="5" t="n">
        <v>52.9</v>
      </c>
      <c r="K201" s="8" t="n">
        <v>22189</v>
      </c>
      <c r="L201" s="6" t="n">
        <v>0</v>
      </c>
      <c r="M201" s="3" t="s">
        <v>134</v>
      </c>
      <c r="N201" s="3" t="str">
        <f aca="false">INDEX('State Mapping'!$B$2:$B$53,MATCH(B201,'State Mapping'!$A$2:$A$53,0))</f>
        <v>Alabama</v>
      </c>
      <c r="O201" s="8" t="n">
        <f aca="false">IFERROR(INDEX('State Premium Data'!$D$2:$D$53,MATCH(N201,'State Premium Data'!$A$2:$A$53,0)),"")</f>
        <v>23541</v>
      </c>
      <c r="P201" s="8" t="n">
        <f aca="false">IFERROR(INDEX('State Premium Data'!$C$2:$C$53,MATCH(N201,'State Premium Data'!$A$2:$A$53,0)),"")</f>
        <v>60156</v>
      </c>
      <c r="Q201" s="9" t="n">
        <f aca="false">IFERROR(K201/O201,"")</f>
        <v>0.942568285119579</v>
      </c>
      <c r="R201" s="8" t="n">
        <f aca="false">IFERROR(I201-P201,"")</f>
        <v>-14921</v>
      </c>
      <c r="S201" s="10" t="n">
        <f aca="false">IFERROR(R201/P201,"")</f>
        <v>-0.248038433406477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24"/>
  </cols>
  <sheetData>
    <row r="1" customFormat="false" ht="17.25" hidden="false" customHeight="true" outlineLevel="0" collapsed="false">
      <c r="A1" s="11" t="s">
        <v>497</v>
      </c>
      <c r="B1" s="11"/>
      <c r="C1" s="11"/>
      <c r="D1" s="11"/>
      <c r="E1" s="11"/>
    </row>
    <row r="2" customFormat="false" ht="15" hidden="false" customHeight="true" outlineLevel="0" collapsed="false">
      <c r="A2" s="12" t="s">
        <v>498</v>
      </c>
      <c r="B2" s="12"/>
      <c r="C2" s="12"/>
      <c r="D2" s="12"/>
      <c r="E2" s="12"/>
    </row>
    <row r="4" customFormat="false" ht="26.25" hidden="false" customHeight="true" outlineLevel="0" collapsed="false">
      <c r="A4" s="13" t="s">
        <v>499</v>
      </c>
      <c r="B4" s="13" t="s">
        <v>135</v>
      </c>
      <c r="C4" s="13" t="s">
        <v>142</v>
      </c>
      <c r="D4" s="13" t="s">
        <v>383</v>
      </c>
      <c r="E4" s="13" t="s">
        <v>500</v>
      </c>
    </row>
    <row r="5" customFormat="false" ht="15" hidden="false" customHeight="true" outlineLevel="0" collapsed="false">
      <c r="A5" s="14" t="s">
        <v>123</v>
      </c>
      <c r="B5" s="15" t="n">
        <f aca="false">INDEX('College Data'!$K:$K,MATCH(B$4,'College Data'!$A:$A,0))</f>
        <v>14000</v>
      </c>
      <c r="C5" s="15" t="n">
        <f aca="false">INDEX('College Data'!$K:$K,MATCH(C$4,'College Data'!$A:$A,0))</f>
        <v>10320</v>
      </c>
      <c r="D5" s="15" t="n">
        <f aca="false">INDEX('College Data'!$K:$K,MATCH(D$4,'College Data'!$A:$A,0))</f>
        <v>11069</v>
      </c>
      <c r="E5" s="16" t="n">
        <f aca="false">AVERAGE('College Data'!$K$2:$K$201)</f>
        <v>19824.92</v>
      </c>
    </row>
    <row r="6" customFormat="false" ht="15" hidden="false" customHeight="true" outlineLevel="0" collapsed="false">
      <c r="A6" s="14" t="s">
        <v>127</v>
      </c>
      <c r="B6" s="15" t="n">
        <f aca="false">INDEX('College Data'!$O:$O,MATCH(B$4,'College Data'!$A:$A,0))</f>
        <v>36224</v>
      </c>
      <c r="C6" s="15" t="n">
        <f aca="false">INDEX('College Data'!$O:$O,MATCH(C$4,'College Data'!$A:$A,0))</f>
        <v>38586</v>
      </c>
      <c r="D6" s="15" t="n">
        <f aca="false">INDEX('College Data'!$O:$O,MATCH(D$4,'College Data'!$A:$A,0))</f>
        <v>21307</v>
      </c>
      <c r="E6" s="16" t="n">
        <f aca="false">AVERAGE('College Data'!$O$2:$O$201)</f>
        <v>29759.19</v>
      </c>
    </row>
    <row r="7" customFormat="false" ht="15" hidden="false" customHeight="true" outlineLevel="0" collapsed="false">
      <c r="A7" s="14" t="s">
        <v>129</v>
      </c>
      <c r="B7" s="17" t="n">
        <f aca="false">INDEX('College Data'!$Q:$Q,MATCH(B$4,'College Data'!$A:$A,0))</f>
        <v>0.386484098939929</v>
      </c>
      <c r="C7" s="17" t="n">
        <f aca="false">INDEX('College Data'!$Q:$Q,MATCH(C$4,'College Data'!$A:$A,0))</f>
        <v>0.267454517182398</v>
      </c>
      <c r="D7" s="17" t="n">
        <f aca="false">INDEX('College Data'!$Q:$Q,MATCH(D$4,'College Data'!$A:$A,0))</f>
        <v>0.519500633594593</v>
      </c>
      <c r="E7" s="18" t="n">
        <f aca="false">AVERAGE('College Data'!$Q$2:$Q$201)</f>
        <v>0.707160898947634</v>
      </c>
    </row>
    <row r="8" customFormat="false" ht="15" hidden="false" customHeight="true" outlineLevel="0" collapsed="false">
      <c r="A8" s="14" t="s">
        <v>501</v>
      </c>
      <c r="B8" s="15" t="n">
        <f aca="false">INDEX('College Data'!$I:$I,MATCH(B$4,'College Data'!$A:$A,0))</f>
        <v>101817</v>
      </c>
      <c r="C8" s="15" t="n">
        <f aca="false">INDEX('College Data'!$I:$I,MATCH(C$4,'College Data'!$A:$A,0))</f>
        <v>110066</v>
      </c>
      <c r="D8" s="15" t="n">
        <f aca="false">INDEX('College Data'!$I:$I,MATCH(D$4,'College Data'!$A:$A,0))</f>
        <v>75790</v>
      </c>
      <c r="E8" s="16" t="n">
        <f aca="false">AVERAGE('College Data'!$I$2:$I$201)</f>
        <v>70114</v>
      </c>
    </row>
    <row r="9" customFormat="false" ht="15" hidden="false" customHeight="true" outlineLevel="0" collapsed="false">
      <c r="A9" s="14" t="s">
        <v>502</v>
      </c>
      <c r="B9" s="15" t="n">
        <f aca="false">INDEX('College Data'!$P:$P,MATCH(B$4,'College Data'!$A:$A,0))</f>
        <v>79985</v>
      </c>
      <c r="C9" s="15" t="n">
        <f aca="false">INDEX('College Data'!$P:$P,MATCH(C$4,'College Data'!$A:$A,0))</f>
        <v>80114</v>
      </c>
      <c r="D9" s="15" t="n">
        <f aca="false">INDEX('College Data'!$P:$P,MATCH(D$4,'College Data'!$A:$A,0))</f>
        <v>63247</v>
      </c>
      <c r="E9" s="16" t="n">
        <f aca="false">AVERAGE('College Data'!$P$2:$P$201)</f>
        <v>68800.67</v>
      </c>
    </row>
    <row r="10" customFormat="false" ht="15" hidden="false" customHeight="true" outlineLevel="0" collapsed="false">
      <c r="A10" s="14" t="s">
        <v>503</v>
      </c>
      <c r="B10" s="15" t="n">
        <f aca="false">INDEX('College Data'!$R:$R,MATCH(B$4,'College Data'!$A:$A,0))</f>
        <v>21832</v>
      </c>
      <c r="C10" s="15" t="n">
        <f aca="false">INDEX('College Data'!$R:$R,MATCH(C$4,'College Data'!$A:$A,0))</f>
        <v>29952</v>
      </c>
      <c r="D10" s="15" t="n">
        <f aca="false">INDEX('College Data'!$R:$R,MATCH(D$4,'College Data'!$A:$A,0))</f>
        <v>12543</v>
      </c>
      <c r="E10" s="16" t="n">
        <f aca="false">AVERAGE('College Data'!$R$2:$R$201)</f>
        <v>1313.33</v>
      </c>
    </row>
    <row r="11" customFormat="false" ht="15" hidden="false" customHeight="true" outlineLevel="0" collapsed="false">
      <c r="A11" s="14" t="s">
        <v>504</v>
      </c>
      <c r="B11" s="19" t="n">
        <f aca="false">INDEX('College Data'!$S:$S,MATCH(B$4,'College Data'!$A:$A,0))</f>
        <v>0.27295117834594</v>
      </c>
      <c r="C11" s="19" t="n">
        <f aca="false">INDEX('College Data'!$S:$S,MATCH(C$4,'College Data'!$A:$A,0))</f>
        <v>0.373867239184163</v>
      </c>
      <c r="D11" s="19" t="n">
        <f aca="false">INDEX('College Data'!$S:$S,MATCH(D$4,'College Data'!$A:$A,0))</f>
        <v>0.198317706768701</v>
      </c>
      <c r="E11" s="20" t="n">
        <f aca="false">AVERAGE('College Data'!$S$2:$S$201)</f>
        <v>0.023803203916222</v>
      </c>
    </row>
    <row r="13" customFormat="false" ht="15" hidden="false" customHeight="true" outlineLevel="0" collapsed="false">
      <c r="A13" s="21" t="s">
        <v>505</v>
      </c>
    </row>
    <row r="14" customFormat="false" ht="15" hidden="false" customHeight="true" outlineLevel="0" collapsed="false">
      <c r="A14" s="22" t="s">
        <v>506</v>
      </c>
    </row>
    <row r="15" customFormat="false" ht="15" hidden="false" customHeight="true" outlineLevel="0" collapsed="false">
      <c r="A15" s="23" t="s">
        <v>507</v>
      </c>
    </row>
    <row r="16" customFormat="false" ht="15" hidden="false" customHeight="true" outlineLevel="0" collapsed="false">
      <c r="A16" s="24" t="s">
        <v>508</v>
      </c>
    </row>
    <row r="18" customFormat="false" ht="15" hidden="false" customHeight="true" outlineLevel="0" collapsed="false">
      <c r="A18" s="21" t="s">
        <v>509</v>
      </c>
    </row>
    <row r="19" customFormat="false" ht="15" hidden="false" customHeight="true" outlineLevel="0" collapsed="false">
      <c r="A19" s="12" t="s">
        <v>510</v>
      </c>
      <c r="B19" s="12"/>
      <c r="C19" s="12"/>
      <c r="D19" s="12"/>
      <c r="E19" s="12"/>
    </row>
    <row r="20" customFormat="false" ht="15" hidden="false" customHeight="true" outlineLevel="0" collapsed="false">
      <c r="A20" s="12" t="s">
        <v>511</v>
      </c>
      <c r="B20" s="12"/>
      <c r="C20" s="12"/>
      <c r="D20" s="12"/>
      <c r="E20" s="12"/>
    </row>
    <row r="21" customFormat="false" ht="15" hidden="false" customHeight="true" outlineLevel="0" collapsed="false">
      <c r="A21" s="12" t="s">
        <v>512</v>
      </c>
      <c r="B21" s="12"/>
      <c r="C21" s="12"/>
      <c r="D21" s="12"/>
      <c r="E21" s="12"/>
    </row>
    <row r="22" customFormat="false" ht="15" hidden="false" customHeight="true" outlineLevel="0" collapsed="false">
      <c r="A22" s="12" t="s">
        <v>513</v>
      </c>
      <c r="B22" s="12"/>
      <c r="C22" s="12"/>
      <c r="D22" s="12"/>
      <c r="E22" s="12"/>
    </row>
    <row r="24" customFormat="false" ht="15" hidden="false" customHeight="true" outlineLevel="0" collapsed="false">
      <c r="A24" s="12" t="s">
        <v>514</v>
      </c>
      <c r="B24" s="12"/>
      <c r="C24" s="12"/>
      <c r="D24" s="12"/>
      <c r="E24" s="12"/>
    </row>
  </sheetData>
  <mergeCells count="7">
    <mergeCell ref="A1:E1"/>
    <mergeCell ref="A2:E2"/>
    <mergeCell ref="A19:E19"/>
    <mergeCell ref="A20:E20"/>
    <mergeCell ref="A21:E21"/>
    <mergeCell ref="A22:E22"/>
    <mergeCell ref="A24:E24"/>
  </mergeCells>
  <conditionalFormatting sqref="B5:D5">
    <cfRule type="expression" priority="2" aboveAverage="0" equalAverage="0" bottom="0" percent="0" rank="0" text="" dxfId="0">
      <formula>B5&lt;$E5</formula>
    </cfRule>
    <cfRule type="expression" priority="3" aboveAverage="0" equalAverage="0" bottom="0" percent="0" rank="0" text="" dxfId="1">
      <formula>B5&gt;$E5</formula>
    </cfRule>
  </conditionalFormatting>
  <conditionalFormatting sqref="B7:D7">
    <cfRule type="expression" priority="4" aboveAverage="0" equalAverage="0" bottom="0" percent="0" rank="0" text="" dxfId="0">
      <formula>B7&lt;$E7</formula>
    </cfRule>
    <cfRule type="expression" priority="5" aboveAverage="0" equalAverage="0" bottom="0" percent="0" rank="0" text="" dxfId="1">
      <formula>B7&gt;$E7</formula>
    </cfRule>
  </conditionalFormatting>
  <conditionalFormatting sqref="B8:D8">
    <cfRule type="expression" priority="6" aboveAverage="0" equalAverage="0" bottom="0" percent="0" rank="0" text="" dxfId="0">
      <formula>B8&gt;$E8</formula>
    </cfRule>
    <cfRule type="expression" priority="7" aboveAverage="0" equalAverage="0" bottom="0" percent="0" rank="0" text="" dxfId="1">
      <formula>B8&lt;$E8</formula>
    </cfRule>
  </conditionalFormatting>
  <conditionalFormatting sqref="B10:D10">
    <cfRule type="expression" priority="8" aboveAverage="0" equalAverage="0" bottom="0" percent="0" rank="0" text="" dxfId="0">
      <formula>B10&gt;$E10</formula>
    </cfRule>
    <cfRule type="expression" priority="9" aboveAverage="0" equalAverage="0" bottom="0" percent="0" rank="0" text="" dxfId="1">
      <formula>B10&lt;$E10</formula>
    </cfRule>
  </conditionalFormatting>
  <conditionalFormatting sqref="B11:D11">
    <cfRule type="expression" priority="10" aboveAverage="0" equalAverage="0" bottom="0" percent="0" rank="0" text="" dxfId="0">
      <formula>B11&gt;$E11</formula>
    </cfRule>
    <cfRule type="expression" priority="11" aboveAverage="0" equalAverage="0" bottom="0" percent="0" rank="0" text="" dxfId="1">
      <formula>B11&lt;$E11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5" activeCellId="0" sqref="N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4"/>
  </cols>
  <sheetData>
    <row r="1" customFormat="false" ht="17.25" hidden="false" customHeight="true" outlineLevel="0" collapsed="false">
      <c r="A1" s="25" t="s">
        <v>129</v>
      </c>
    </row>
    <row r="2" customFormat="false" ht="15" hidden="false" customHeight="true" outlineLevel="0" collapsed="false">
      <c r="A2" s="24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4"/>
  </cols>
  <sheetData>
    <row r="1" customFormat="false" ht="17.25" hidden="false" customHeight="true" outlineLevel="0" collapsed="false">
      <c r="A1" s="25" t="s">
        <v>503</v>
      </c>
    </row>
    <row r="2" customFormat="false" ht="15" hidden="false" customHeight="true" outlineLevel="0" collapsed="false">
      <c r="A2" s="24" t="s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2026-07-29T03:45:24Z</dcterms:created>
  <dc:creator>openpyxl</dc:creator>
  <dc:description/>
  <dc:language>en-US</dc:language>
  <cp:lastModifiedBy/>
  <dcterms:modified xsi:type="dcterms:W3CDTF">2026-07-28T22:53:28Z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